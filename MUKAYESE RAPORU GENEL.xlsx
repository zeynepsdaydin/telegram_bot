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zina\OneDrive\Masaüstü\MUKAYESE RAPORU\"/>
    </mc:Choice>
  </mc:AlternateContent>
  <xr:revisionPtr revIDLastSave="0" documentId="13_ncr:1_{724D36AC-FE8B-4CA4-A3AB-C595CFCD1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Sheet1!$A$1:$BG$484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1" l="1"/>
  <c r="O470" i="1"/>
  <c r="O469" i="1"/>
  <c r="U468" i="1"/>
  <c r="Q467" i="1"/>
  <c r="O466" i="1"/>
  <c r="O465" i="1"/>
  <c r="O464" i="1"/>
  <c r="Q463" i="1"/>
  <c r="BK462" i="1"/>
  <c r="O461" i="1"/>
  <c r="U460" i="1"/>
  <c r="AI459" i="1"/>
  <c r="Q458" i="1"/>
  <c r="Q457" i="1"/>
  <c r="W456" i="1"/>
  <c r="Q455" i="1"/>
  <c r="AI454" i="1"/>
  <c r="AS453" i="1"/>
  <c r="O452" i="1"/>
  <c r="O451" i="1"/>
  <c r="O450" i="1"/>
  <c r="O449" i="1"/>
  <c r="O448" i="1"/>
  <c r="O447" i="1"/>
  <c r="Q446" i="1"/>
  <c r="Q445" i="1"/>
  <c r="O444" i="1"/>
  <c r="Q443" i="1"/>
  <c r="U442" i="1"/>
  <c r="Q441" i="1"/>
  <c r="U440" i="1"/>
  <c r="AY439" i="1"/>
  <c r="AI438" i="1"/>
  <c r="Q437" i="1"/>
  <c r="Q436" i="1"/>
  <c r="Q435" i="1"/>
  <c r="AI434" i="1"/>
  <c r="Q433" i="1"/>
  <c r="BK432" i="1"/>
  <c r="Y431" i="1"/>
  <c r="BE430" i="1"/>
  <c r="Q429" i="1"/>
  <c r="AS428" i="1"/>
  <c r="BK427" i="1"/>
  <c r="Q426" i="1"/>
  <c r="U425" i="1"/>
  <c r="U424" i="1"/>
  <c r="Q423" i="1"/>
  <c r="U422" i="1"/>
  <c r="U420" i="1"/>
  <c r="Y419" i="1"/>
  <c r="O418" i="1"/>
  <c r="Q417" i="1"/>
  <c r="U157" i="1"/>
  <c r="BK156" i="1"/>
  <c r="U155" i="1"/>
  <c r="BQ368" i="1"/>
  <c r="BO373" i="1"/>
  <c r="BO477" i="1" s="1"/>
  <c r="BQ401" i="1"/>
  <c r="AS416" i="1"/>
  <c r="Q415" i="1"/>
  <c r="U414" i="1"/>
  <c r="AC413" i="1"/>
  <c r="AC477" i="1" s="1"/>
  <c r="Y412" i="1"/>
  <c r="Q411" i="1"/>
  <c r="O410" i="1"/>
  <c r="O409" i="1"/>
  <c r="Q408" i="1"/>
  <c r="Q407" i="1"/>
  <c r="AU406" i="1"/>
  <c r="AI405" i="1"/>
  <c r="AS404" i="1"/>
  <c r="U403" i="1"/>
  <c r="AI402" i="1"/>
  <c r="AI400" i="1"/>
  <c r="AY399" i="1"/>
  <c r="AI398" i="1"/>
  <c r="AI397" i="1"/>
  <c r="AU396" i="1"/>
  <c r="AI395" i="1"/>
  <c r="AI394" i="1"/>
  <c r="AI393" i="1"/>
  <c r="AI392" i="1"/>
  <c r="AI391" i="1"/>
  <c r="AI390" i="1"/>
  <c r="AI389" i="1"/>
  <c r="AY388" i="1"/>
  <c r="AY387" i="1"/>
  <c r="AY386" i="1"/>
  <c r="AI385" i="1"/>
  <c r="AI384" i="1"/>
  <c r="AI383" i="1"/>
  <c r="AI382" i="1"/>
  <c r="AI381" i="1"/>
  <c r="AI380" i="1"/>
  <c r="AI379" i="1"/>
  <c r="AI378" i="1"/>
  <c r="BE377" i="1"/>
  <c r="AI376" i="1"/>
  <c r="Q375" i="1"/>
  <c r="AS374" i="1"/>
  <c r="AI372" i="1"/>
  <c r="AI371" i="1"/>
  <c r="AI370" i="1"/>
  <c r="AI369" i="1"/>
  <c r="O367" i="1"/>
  <c r="AI366" i="1"/>
  <c r="Q365" i="1"/>
  <c r="AI364" i="1"/>
  <c r="AI363" i="1"/>
  <c r="AI362" i="1"/>
  <c r="AI361" i="1"/>
  <c r="AI360" i="1"/>
  <c r="AI359" i="1"/>
  <c r="AI358" i="1"/>
  <c r="AI357" i="1"/>
  <c r="AU356" i="1"/>
  <c r="Q355" i="1"/>
  <c r="AI354" i="1"/>
  <c r="O353" i="1"/>
  <c r="Y352" i="1"/>
  <c r="O351" i="1"/>
  <c r="AU350" i="1"/>
  <c r="AI349" i="1"/>
  <c r="AI348" i="1"/>
  <c r="AU347" i="1"/>
  <c r="AI346" i="1"/>
  <c r="AI345" i="1"/>
  <c r="AI344" i="1"/>
  <c r="Q154" i="1"/>
  <c r="Q153" i="1"/>
  <c r="BE343" i="1"/>
  <c r="O342" i="1"/>
  <c r="Q341" i="1"/>
  <c r="Q340" i="1"/>
  <c r="O339" i="1"/>
  <c r="Y338" i="1"/>
  <c r="Q152" i="1"/>
  <c r="I151" i="1"/>
  <c r="I473" i="1"/>
  <c r="U472" i="1"/>
  <c r="U471" i="1"/>
  <c r="BK336" i="1"/>
  <c r="O337" i="1"/>
  <c r="O335" i="1"/>
  <c r="O334" i="1"/>
  <c r="BM167" i="1"/>
  <c r="BM166" i="1"/>
  <c r="BM477" i="1" s="1"/>
  <c r="I165" i="1"/>
  <c r="I164" i="1"/>
  <c r="I163" i="1"/>
  <c r="I162" i="1"/>
  <c r="AI169" i="1"/>
  <c r="I57" i="1"/>
  <c r="BK140" i="1"/>
  <c r="Y139" i="1"/>
  <c r="I68" i="1"/>
  <c r="O126" i="1"/>
  <c r="U127" i="1"/>
  <c r="U128" i="1"/>
  <c r="U87" i="1"/>
  <c r="BI136" i="1"/>
  <c r="BI477" i="1" s="1"/>
  <c r="AI234" i="1"/>
  <c r="U58" i="1"/>
  <c r="AI284" i="1"/>
  <c r="W132" i="1"/>
  <c r="BK477" i="1" l="1"/>
  <c r="BQ477" i="1"/>
  <c r="U333" i="1"/>
  <c r="U170" i="1"/>
  <c r="AI332" i="1"/>
  <c r="Q331" i="1"/>
  <c r="BE330" i="1"/>
  <c r="BE477" i="1" s="1"/>
  <c r="Q329" i="1"/>
  <c r="AI328" i="1"/>
  <c r="AI327" i="1"/>
  <c r="AI326" i="1"/>
  <c r="AI325" i="1"/>
  <c r="Q324" i="1"/>
  <c r="AS323" i="1"/>
  <c r="AS322" i="1"/>
  <c r="AU321" i="1"/>
  <c r="AS320" i="1"/>
  <c r="AS319" i="1"/>
  <c r="BC318" i="1"/>
  <c r="BC477" i="1" s="1"/>
  <c r="O317" i="1"/>
  <c r="Q316" i="1"/>
  <c r="AS315" i="1"/>
  <c r="AU314" i="1"/>
  <c r="AU313" i="1"/>
  <c r="AI312" i="1"/>
  <c r="AI311" i="1"/>
  <c r="AI310" i="1"/>
  <c r="Q309" i="1"/>
  <c r="Y308" i="1"/>
  <c r="AI307" i="1"/>
  <c r="AI306" i="1"/>
  <c r="Q305" i="1"/>
  <c r="O304" i="1"/>
  <c r="AI303" i="1"/>
  <c r="AI302" i="1"/>
  <c r="O301" i="1"/>
  <c r="Q300" i="1"/>
  <c r="AI299" i="1"/>
  <c r="AI298" i="1"/>
  <c r="AI297" i="1"/>
  <c r="AI296" i="1"/>
  <c r="AI295" i="1"/>
  <c r="AI294" i="1"/>
  <c r="AU293" i="1"/>
  <c r="AI292" i="1"/>
  <c r="AI291" i="1"/>
  <c r="AI290" i="1"/>
  <c r="AI289" i="1"/>
  <c r="AI288" i="1"/>
  <c r="AI287" i="1"/>
  <c r="BA286" i="1"/>
  <c r="BA477" i="1" s="1"/>
  <c r="AI285" i="1"/>
  <c r="O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BG150" i="1"/>
  <c r="BG477" i="1" s="1"/>
  <c r="U171" i="1"/>
  <c r="AI237" i="1" l="1"/>
  <c r="AU236" i="1"/>
  <c r="AY226" i="1" l="1"/>
  <c r="AY225" i="1"/>
  <c r="AY224" i="1"/>
  <c r="AY477" i="1" s="1"/>
  <c r="AS228" i="1"/>
  <c r="Q227" i="1"/>
  <c r="U135" i="1"/>
  <c r="AW56" i="1"/>
  <c r="AW477" i="1" s="1"/>
  <c r="Q233" i="1"/>
  <c r="W230" i="1"/>
  <c r="W229" i="1"/>
  <c r="AI235" i="1"/>
  <c r="AI232" i="1"/>
  <c r="AI231" i="1"/>
  <c r="AI223" i="1"/>
  <c r="AI222" i="1"/>
  <c r="AI221" i="1"/>
  <c r="AI220" i="1"/>
  <c r="AI219" i="1"/>
  <c r="AI218" i="1"/>
  <c r="AS217" i="1"/>
  <c r="AI216" i="1"/>
  <c r="AI215" i="1"/>
  <c r="AI214" i="1"/>
  <c r="AI213" i="1"/>
  <c r="AU212" i="1"/>
  <c r="AU477" i="1" s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S191" i="1"/>
  <c r="AI190" i="1"/>
  <c r="AI189" i="1"/>
  <c r="AI188" i="1"/>
  <c r="AI187" i="1"/>
  <c r="AI186" i="1"/>
  <c r="AI185" i="1"/>
  <c r="AI184" i="1"/>
  <c r="AI183" i="1"/>
  <c r="U182" i="1"/>
  <c r="AI181" i="1"/>
  <c r="AI180" i="1"/>
  <c r="AI179" i="1"/>
  <c r="AI178" i="1"/>
  <c r="AI177" i="1"/>
  <c r="AI176" i="1"/>
  <c r="AI175" i="1"/>
  <c r="AI174" i="1"/>
  <c r="AI173" i="1"/>
  <c r="AI172" i="1"/>
  <c r="AA67" i="1"/>
  <c r="AA477" i="1" s="1"/>
  <c r="AQ477" i="1"/>
  <c r="O55" i="1"/>
  <c r="O54" i="1"/>
  <c r="M66" i="1"/>
  <c r="M65" i="1"/>
  <c r="M64" i="1"/>
  <c r="M63" i="1"/>
  <c r="M62" i="1"/>
  <c r="AO60" i="1"/>
  <c r="AO59" i="1"/>
  <c r="M48" i="1"/>
  <c r="M47" i="1"/>
  <c r="M46" i="1"/>
  <c r="M45" i="1"/>
  <c r="M44" i="1"/>
  <c r="M42" i="1"/>
  <c r="M41" i="1"/>
  <c r="M40" i="1"/>
  <c r="M39" i="1"/>
  <c r="M38" i="1"/>
  <c r="O161" i="1"/>
  <c r="O160" i="1"/>
  <c r="AK159" i="1"/>
  <c r="AK477" i="1" s="1"/>
  <c r="Q149" i="1"/>
  <c r="AI148" i="1"/>
  <c r="W53" i="1"/>
  <c r="W52" i="1"/>
  <c r="Q168" i="1"/>
  <c r="W147" i="1"/>
  <c r="Q146" i="1"/>
  <c r="W145" i="1"/>
  <c r="Q144" i="1"/>
  <c r="Q143" i="1"/>
  <c r="U142" i="1"/>
  <c r="U141" i="1"/>
  <c r="U138" i="1"/>
  <c r="W137" i="1"/>
  <c r="W134" i="1"/>
  <c r="I78" i="1"/>
  <c r="W84" i="1"/>
  <c r="W83" i="1"/>
  <c r="W81" i="1"/>
  <c r="Q80" i="1"/>
  <c r="W70" i="1"/>
  <c r="W79" i="1"/>
  <c r="W77" i="1"/>
  <c r="W76" i="1"/>
  <c r="Q133" i="1"/>
  <c r="I130" i="1"/>
  <c r="I8" i="1"/>
  <c r="I9" i="1"/>
  <c r="I10" i="1"/>
  <c r="I11" i="1"/>
  <c r="I12" i="1"/>
  <c r="I7" i="1"/>
  <c r="I131" i="1"/>
  <c r="I129" i="1"/>
  <c r="AO477" i="1" l="1"/>
  <c r="AS477" i="1"/>
  <c r="AI477" i="1"/>
  <c r="I72" i="1"/>
  <c r="AG71" i="1"/>
  <c r="AG477" i="1" s="1"/>
  <c r="O51" i="1"/>
  <c r="O50" i="1"/>
  <c r="O49" i="1"/>
  <c r="O158" i="1"/>
  <c r="AE125" i="1"/>
  <c r="AE124" i="1"/>
  <c r="AE123" i="1"/>
  <c r="AE122" i="1"/>
  <c r="AE121" i="1"/>
  <c r="U120" i="1"/>
  <c r="Q119" i="1"/>
  <c r="Q118" i="1"/>
  <c r="I117" i="1"/>
  <c r="I116" i="1"/>
  <c r="AE477" i="1" l="1"/>
  <c r="I37" i="1"/>
  <c r="I115" i="1"/>
  <c r="Y114" i="1"/>
  <c r="Y113" i="1"/>
  <c r="Y112" i="1"/>
  <c r="O111" i="1"/>
  <c r="Q110" i="1"/>
  <c r="Q109" i="1"/>
  <c r="Q108" i="1"/>
  <c r="Q107" i="1"/>
  <c r="Y106" i="1"/>
  <c r="W105" i="1"/>
  <c r="W477" i="1" s="1"/>
  <c r="I104" i="1"/>
  <c r="O103" i="1"/>
  <c r="O102" i="1"/>
  <c r="O101" i="1"/>
  <c r="O100" i="1"/>
  <c r="O99" i="1"/>
  <c r="O98" i="1"/>
  <c r="O97" i="1"/>
  <c r="O96" i="1"/>
  <c r="Q95" i="1"/>
  <c r="O94" i="1"/>
  <c r="O93" i="1"/>
  <c r="I92" i="1"/>
  <c r="I91" i="1"/>
  <c r="I90" i="1"/>
  <c r="I89" i="1"/>
  <c r="I88" i="1"/>
  <c r="Q86" i="1"/>
  <c r="I85" i="1"/>
  <c r="S82" i="1"/>
  <c r="S477" i="1" s="1"/>
  <c r="I75" i="1"/>
  <c r="I74" i="1"/>
  <c r="I73" i="1"/>
  <c r="Q69" i="1"/>
  <c r="I36" i="1"/>
  <c r="I35" i="1"/>
  <c r="I34" i="1"/>
  <c r="O33" i="1"/>
  <c r="O32" i="1"/>
  <c r="O31" i="1"/>
  <c r="O30" i="1"/>
  <c r="I29" i="1"/>
  <c r="I28" i="1"/>
  <c r="I27" i="1"/>
  <c r="I26" i="1"/>
  <c r="I25" i="1"/>
  <c r="I24" i="1"/>
  <c r="I23" i="1"/>
  <c r="I22" i="1"/>
  <c r="M477" i="1"/>
  <c r="K20" i="1"/>
  <c r="K19" i="1"/>
  <c r="K18" i="1"/>
  <c r="K17" i="1"/>
  <c r="K16" i="1"/>
  <c r="K15" i="1"/>
  <c r="K14" i="1"/>
  <c r="K13" i="1"/>
  <c r="I6" i="1"/>
  <c r="Y477" i="1" l="1"/>
  <c r="Q477" i="1"/>
  <c r="O477" i="1"/>
  <c r="I477" i="1"/>
  <c r="K477" i="1"/>
  <c r="U477" i="1" l="1"/>
  <c r="I479" i="1" s="1"/>
  <c r="I482" i="1" s="1"/>
</calcChain>
</file>

<file path=xl/sharedStrings.xml><?xml version="1.0" encoding="utf-8"?>
<sst xmlns="http://schemas.openxmlformats.org/spreadsheetml/2006/main" count="2017" uniqueCount="1006">
  <si>
    <t>EK-1: MUKAYESE RAPORU (ELEKTRİK ARAÇ MALZEME LİSTESİ)</t>
  </si>
  <si>
    <t>SIRA NO</t>
  </si>
  <si>
    <t>ÜRÜN ADI</t>
  </si>
  <si>
    <t>BİRİM</t>
  </si>
  <si>
    <t>ADET</t>
  </si>
  <si>
    <t>MİKTAR</t>
  </si>
  <si>
    <t>LİNK</t>
  </si>
  <si>
    <t>BİRİM FİYAT</t>
  </si>
  <si>
    <t>TUTAR</t>
  </si>
  <si>
    <t>Kablo Bağı</t>
  </si>
  <si>
    <t>https://www.hepsiburada.com/zenith-3-6-x-250-mm-kablo-bagi-plastik-cirt-kelepce-paket-100adet-p-HBCV00000FAIGZ</t>
  </si>
  <si>
    <t>https://www.hepsiburada.com/cet-san-kablo-bagi-cirt-kelepce-siyah-2-5-x-150-mm-100-lu-p-HBV00000VG20W</t>
  </si>
  <si>
    <t>https://www.hepsiburada.com/hubstein-750-li-kutulu-heat-shrink-makaron-daralan-kablo-tamir-seti-p-HBCV000045CXJK?magaza=SnrGrup</t>
  </si>
  <si>
    <t>Makaron</t>
  </si>
  <si>
    <t>Elektrik Bandı (Siyah)</t>
  </si>
  <si>
    <t>https://online.gunsanelectric.com/urun/gunsan-siyah-elektrik-izolasyon-bandi-10-adet</t>
  </si>
  <si>
    <t>https://online.gunsanelectric.com/urun/gunsan-mavi-elektrik-izolasyon-bandi-10-adet</t>
  </si>
  <si>
    <t>Elektrik Bandı (Mavi)</t>
  </si>
  <si>
    <t>https://online.gunsanelectric.com/urun/gunsan-yesil-elektrik-izolasyon-bandi-10-adet</t>
  </si>
  <si>
    <t>Elektrik Bandı (Yeşil)</t>
  </si>
  <si>
    <t>https://online.gunsanelectric.com/urun/gunsan-beyaz-elektrik-izolasyon-bandi-10-adet</t>
  </si>
  <si>
    <t>Elektrik Bandı (Beyaz)</t>
  </si>
  <si>
    <t>Elektrik Bandı (Gri)</t>
  </si>
  <si>
    <t>https://online.gunsanelectric.com/urun/gunsan-gri-elektrik-izolasyon-bandi-10-adet</t>
  </si>
  <si>
    <t>https://online.gunsanelectric.com/urun/gunsan-kirmizi-elektrik-izolasyon-bandi-10-adet</t>
  </si>
  <si>
    <t>Elektrik Bandı (Kırmızı)</t>
  </si>
  <si>
    <t>https://online.gunsanelectric.com/urun/gunsan-sari-elektrik-izolasyon-bandi-10-adet</t>
  </si>
  <si>
    <t>Elektrik Bandı (Sarı)</t>
  </si>
  <si>
    <t>https://online.gunsanelectric.com/urun/gunsan-sari-yesil-elektrik-izolasyon-bandi-10-adet</t>
  </si>
  <si>
    <t>Elektrik Bandı (Sarı-Yeşil)</t>
  </si>
  <si>
    <t>https://kompozitpazari.com/urun/ahsap-sapli-super-kestirme-recine-fircalari/</t>
  </si>
  <si>
    <t>Ducktape</t>
  </si>
  <si>
    <t>https://www.hepsiburada.com/3m-1900-tamir-bandi-duct-tape-3900-50mmx50mt-gri-pm-HB0000018YLI</t>
  </si>
  <si>
    <t>Aseton</t>
  </si>
  <si>
    <t>https://www.hepsiburada.com/luxor-kimya-99-saf-aseton-5-lt-pm-HBC0000246HIQ</t>
  </si>
  <si>
    <t>İzopropil Alkol</t>
  </si>
  <si>
    <t>https://www.hepsiburada.com/luxor-kimya-izopropil-alkol-5-lt-99-9-saf-ipa-yuzey-temizleyici-p-HBCV00005Y25A1?magaza=LUXOREND</t>
  </si>
  <si>
    <t>Eldiven</t>
  </si>
  <si>
    <t>https://www.hepsiburada.com/beybi-lateks-pudrasiz-l-large-beden-muayene-eldiven-100lu-paket-p-HBCV00001X32YB</t>
  </si>
  <si>
    <t>https://www.koctas.com.tr/brio-lokma-adaptor-seti-6-parca/p/5000161759?srsltid=AfmBOop9TxjfPT0tkq0-kVHDoOy8IRL6Q5xy01JxJAosP2-bKZB610N6</t>
  </si>
  <si>
    <t>Kağıt Bant</t>
  </si>
  <si>
    <t>https://www.hepsiburada.com/nistabolje-3-adet-36-mm-kagit-bant-maskeleme-bandi-boya-uygulamalari-icin-profesyonel-kalite-p-HBCV00004AEQLD?magaza=%C3%87ar%C5%9F%C4%B1%20%C4%B0ndirim</t>
  </si>
  <si>
    <t>Cırt Cırt Kablo Düzenleyici</t>
  </si>
  <si>
    <t>https://www.hepsiburada.com/coofbe-5-renk-25-metre-cirt-cirt-bantli-kablo-sarici-duzenleyici-organizator-kablo-duzenleme-pm-HBC00008PYSJ0</t>
  </si>
  <si>
    <t>Yapışkanlı Kablo Kanalı</t>
  </si>
  <si>
    <t>https://www.hepsiburada.com/jetfast-60-adet-kablo-duzenleyici-sabitleyici-duvar-fayans-masa-kablo-tutucu-yapiskanli-kablo-kanali-klips-p-HBCV0000879MNZ</t>
  </si>
  <si>
    <t>Kuyumcu Etiketi</t>
  </si>
  <si>
    <t>https://www.hepsiburada.com/barcodex-72x10-mm-standart-kuyumcu-etiketi-yuksek-yapiskanlik-ozellikli-rulo-etiket-pm-HB00000RZUEZ</t>
  </si>
  <si>
    <t>https://www.hepsiburada.com/vodaseal-duct-tape-tamir-bandi-50mm-x-25m-beyaz-pm-HB00000DQITJ</t>
  </si>
  <si>
    <t>https://www.hepsiburada.com/bant-dunyasi-duct-tape-siyah-tamir-bandi-96-mm-x-10-m-pm-HB00000TRP6M</t>
  </si>
  <si>
    <t>Kablo Toplama Spirali</t>
  </si>
  <si>
    <t>https://www.hepsiburada.com/jameson-helezon-spiral-kablo-toplama-2-5-15mm-10-metre-pm-HBC00000BHGEO</t>
  </si>
  <si>
    <t>SEBEP</t>
  </si>
  <si>
    <t>Mikrofiber Bez</t>
  </si>
  <si>
    <t>https://www.hepsiburada.com/shoppypella-9-lu-cok-amacli-mikrofiber-temizlik-bezi-40x30-cm-silikon-malzeme-ile-derin-temizlik-p-HBCV000076QHYD?magaza=shoppypella</t>
  </si>
  <si>
    <t>Kabloları düzenli tutmak ve temiz bir görüntü elde etmek için kullanılacaktır.</t>
  </si>
  <si>
    <t>Mükerrer</t>
  </si>
  <si>
    <t>Kablo ek yerlerini izole etmek için kullanılacaktır.</t>
  </si>
  <si>
    <t>Akıllı Havya Seti</t>
  </si>
  <si>
    <t>https://www.direnc.net/fnirsi-hs-02a-100w-akilli-kalem-havya-set-1</t>
  </si>
  <si>
    <t>Tamir Pedi</t>
  </si>
  <si>
    <t>https://www.hepsiburada.com/koodmax-s160-buyuk-telefon-tamir-pedi-isiya-dayanikli-silikon-miknatisli-anti-statik-kokusuz-45x30-cm-pm-HBC00008B3H6M</t>
  </si>
  <si>
    <t>Havya Standı</t>
  </si>
  <si>
    <t>https://www.hepsiburada.com/havya-sehpasi-havya-standi-ltj217-metal-lehim-makara-ve-kalem-havya-tutuculu-110x160-mm-sungerli-pm-HBC0000BFU5D7</t>
  </si>
  <si>
    <t>Sıvı Lehim</t>
  </si>
  <si>
    <t>https://www.hepsiburada.com/mechanic-krem-sivi-lehim-mechanic-solder-paste-35-gr-xg-40-183-derece-pm-HBC000001TJCL</t>
  </si>
  <si>
    <t>Lehim Teli</t>
  </si>
  <si>
    <t>https://www.akimla.com/manyetik-pcb-tutucu?srsltid=AfmBOorGB0sWaPNqhY2tYkG4G0iS7_dn-ZGIr0r3RTCbbHFFcv-d1GLygRU</t>
  </si>
  <si>
    <t>Manyetik Devre Kart Tutucu</t>
  </si>
  <si>
    <t>Lehim Sökme Teli</t>
  </si>
  <si>
    <t>Havya Temizleme Teli</t>
  </si>
  <si>
    <t>https://www.hepsiburada.com/wellhise-wh-16-havya-lehim-temizleme-teli-pm-HB00000Y9WOG</t>
  </si>
  <si>
    <t>Siyah Plastik Standoff</t>
  </si>
  <si>
    <t>https://www.motorobit.com/100-parca-m3-siyah-plastik-aralayici-seti-standoff</t>
  </si>
  <si>
    <t>Balata Temizleyici Sprey</t>
  </si>
  <si>
    <t>https://www.hepsiburada.com/best-cr-1002-fren-balata-spreyi-yag-temizleyici-500-mlabbcr1002fbsy-pm-HBC000003B2ZS</t>
  </si>
  <si>
    <t>İş Eldiveni</t>
  </si>
  <si>
    <t>https://www.hepsiburada.com/beybi-nitril-sari-is-eldiveni-no-10-12-li-paket-p-HBCV000070AN62?magaza=İSTOÇ%20GIDA%20HIRDAVAT%20KOZMETİK</t>
  </si>
  <si>
    <t>https://www.hepsiburada.com/atlas-siyah-su-zimpara-seti-6-li-80-100-120-150-180-220-kum-pm-HBC0000162YTA</t>
  </si>
  <si>
    <t>Zımpara</t>
  </si>
  <si>
    <t>Fırça No:4 48 Adet</t>
  </si>
  <si>
    <t>Beyaz Standoff 14mm Dişi Erkek</t>
  </si>
  <si>
    <t>Beyaz Standoff 6mm Dişi Erkek</t>
  </si>
  <si>
    <t>Beyaz Plastik M3 Somun</t>
  </si>
  <si>
    <t>https://www.motorobit.com/m3-14mm-plastik-disi-erkek-aralayici-standoff</t>
  </si>
  <si>
    <t>https://www.motorobit.com/m3-6mm-plastik-disi-erkek-aralayici-standoff</t>
  </si>
  <si>
    <t>https://www.motorobit.com/m3-plastik-somun</t>
  </si>
  <si>
    <t>PCB montajı ve yükseltmek için kullanılacaktır.</t>
  </si>
  <si>
    <t>Kablodan Kabloya Klemens</t>
  </si>
  <si>
    <t>https://www.hepsiburada.com/robo-dunya-8-li-kablodan-kabloya-klemens-5-08-pm-HBC00006X2ABB</t>
  </si>
  <si>
    <t>Born Klemens</t>
  </si>
  <si>
    <t>https://www.hepsiburada.com/koodmax-5-takim-4mm-orta-boy-born-klemens-5-kirmizi-5-siyah-pm-HBC00006U99A5</t>
  </si>
  <si>
    <t>Kol İçi Satır Ekleme Konnektör</t>
  </si>
  <si>
    <t>https://www.hepsiburada.com/wago-221-2411-kol-ici-satir-ekleme-konnektoru-10-adet-pm-HBC00000SIZ4Z</t>
  </si>
  <si>
    <t>D1-2 Kablo Birleştirici Klemens</t>
  </si>
  <si>
    <t>https://www.hepsiburada.com/sonoff-d1-2-kablo-birlestirici-klemens-p-HBCV00005TO0XA?magaza=SONOFF%20TÜRKİYE</t>
  </si>
  <si>
    <t>https://www.hepsiburada.com/sonoff-d1-1-cok-amacli-kablo-konnektoru-pm-HBC00005TOL8S?magaza=SONOFF%20TÜRKİYE</t>
  </si>
  <si>
    <t>D1-1 Kablo Birleştirici Klemens</t>
  </si>
  <si>
    <t>3 Pin Buat Klemens</t>
  </si>
  <si>
    <t>https://www.motorobit.com/da806-500mm-3-pin-tirnakli-buat-klemens</t>
  </si>
  <si>
    <t>3 Pin Terminal Klemens</t>
  </si>
  <si>
    <t>https://www.motorobit.com/kf128v-3p-5mm-3-pin-terminal-klemens</t>
  </si>
  <si>
    <t>Ledli ON-OFF Su Geçirmez Switch</t>
  </si>
  <si>
    <t>https://www.direnc.net/16a-12v-led-on-off-su-gecirmez-switch-kirmizi</t>
  </si>
  <si>
    <t>PBS26 Push Button Kırmızı</t>
  </si>
  <si>
    <t>https://www.motorobit.com/pbs26-16mm-push-buton-kirmizi-ic-180</t>
  </si>
  <si>
    <t>https://www.motorobit.com/pbs26-16mm-push-buton-yesil-ic-180</t>
  </si>
  <si>
    <t>PBS26 Push Button Yeşil</t>
  </si>
  <si>
    <t>https://www.motorobit.com/pbs26-16mm-push-buton-siyah-ic-180</t>
  </si>
  <si>
    <t>PBS26 Push Button Siyah</t>
  </si>
  <si>
    <t>https://www.motorobit.com/pbs26-16mm-push-buton-mavi-ic-180</t>
  </si>
  <si>
    <t>PBS26 Push Button Mavi</t>
  </si>
  <si>
    <t>https://www.motorobit.com/pbs26-16mm-push-buton-sari-ic-180</t>
  </si>
  <si>
    <t>PBS26 Push Button Sarı</t>
  </si>
  <si>
    <t>3 Pin Ledli Rocker Switch Kırmızı</t>
  </si>
  <si>
    <t>https://www.motorobit.com/kcd1-1-kirmizi-isikli-onoff-anahtar-3-pin-ic-118</t>
  </si>
  <si>
    <t>https://www.motorobit.com/kcd1-b1-onoff-anahtar</t>
  </si>
  <si>
    <t xml:space="preserve">Rocker Switch Siyah </t>
  </si>
  <si>
    <t>3 Pin Ledli Rocker Yuvarlak Kırmızı</t>
  </si>
  <si>
    <t>https://www.motorobit.com/kcd1-siyah-kirmizi-isikli-onoff-anahtar-3-pin</t>
  </si>
  <si>
    <t>6 Pin Toggle Anahtar</t>
  </si>
  <si>
    <t>https://www.direnc.net/dc151-on-off-toggle</t>
  </si>
  <si>
    <t>2 Pin Toggle Anahtar</t>
  </si>
  <si>
    <t>https://www.direnc.net/on-off-gecis-anahtari-toggle-switch</t>
  </si>
  <si>
    <t>3 Pin Toggle Anahtar</t>
  </si>
  <si>
    <t>https://www.direnc.net/dc153-on-off-on-toggle</t>
  </si>
  <si>
    <t>https://www.hepsiburada.com/alkatronik-30a-250v-on-off-anahtar-yuksek-akim-kcd4-4-pin-buton-ip67-su-gecirmez-led-isikli-pm-HBC000037W1RM</t>
  </si>
  <si>
    <t>4 Pin Yüksek Akım Switch</t>
  </si>
  <si>
    <t>Acil Stop Butonu</t>
  </si>
  <si>
    <t>https://www.motorobit.com/22m-q1-22mm-metal-acil-stop-butonu-2no2nc</t>
  </si>
  <si>
    <t>https://www.robocombo.com/kcd2-onoff-rocker-anahtar-kirmizi-isikli-4-pin--2857?srsltid=AfmBOoqKQf75HOD44rzYKpR0_w-cB1gBIYcmEkGPyIKwAkqv1PqabFPo</t>
  </si>
  <si>
    <t>KCD2 Rocker Switch 4 Pin Kırmızı</t>
  </si>
  <si>
    <t>KCD2 Rocker Switch 4 Pin Yeşil</t>
  </si>
  <si>
    <t>https://www.komponentci.net/kcd4-yesil-isikli-on-off-anahtar-4-pin-pmu58203</t>
  </si>
  <si>
    <t>https://www.direnc.net/kts103-on-off-on-3-ayak-toggle</t>
  </si>
  <si>
    <t>Çıkık Yaylı Metal Buton 22mm</t>
  </si>
  <si>
    <t>https://www.komponentci.net/22e-g1-22mm-cikik-yayli-metal-buton-pmu52333</t>
  </si>
  <si>
    <t>Çıkık Yaylı Metal Buton 19mm</t>
  </si>
  <si>
    <t>Çıkık Yaylı Metal Buton 16mm</t>
  </si>
  <si>
    <t>https://www.komponentci.net/wd19h-g0-19mm-cikik-yayli-metal-buton-pmu55214</t>
  </si>
  <si>
    <t>https://www.komponentci.net/wd16h-g0-16mm-cikik-yayli-metal-buton-pmu52797</t>
  </si>
  <si>
    <t>https://www.direnc.net/8pk-366n-b-lehim-pompasi-mavi-proskit</t>
  </si>
  <si>
    <t>Lehim Pompası</t>
  </si>
  <si>
    <t>HEPSİBURADA</t>
  </si>
  <si>
    <t>GÜNSAN ELEKTRİK</t>
  </si>
  <si>
    <t>KOMPOZİT PAZARI</t>
  </si>
  <si>
    <t>MOTOROBİT</t>
  </si>
  <si>
    <t>DİRENÇNET</t>
  </si>
  <si>
    <t>AKIMLA.COM</t>
  </si>
  <si>
    <t>ROBOTİSTAN</t>
  </si>
  <si>
    <t>FİYAT</t>
  </si>
  <si>
    <t>Kablo çoklama ve farklı boyut kabloları pratik şekilde bağlamak için kullanılacaktır.</t>
  </si>
  <si>
    <t>Kabloların montaj ve demontajını kolaylaştırmak için kullanılacaktır.</t>
  </si>
  <si>
    <t>Atölyede bulunan güç kaynaklarının yıpranmış çıkışlarına takılacaktır.</t>
  </si>
  <si>
    <t>Araç içindeki anahtarlarda kullanılacaktır.</t>
  </si>
  <si>
    <t>Araçtaki acil stop butonlarında kullanılacaktır.</t>
  </si>
  <si>
    <t>ROBOCOMBO.COM</t>
  </si>
  <si>
    <t>KOMPONENTÇİ</t>
  </si>
  <si>
    <t>Çıt Çıt Anahtar</t>
  </si>
  <si>
    <t>https://www.hepsiburada.com/ozn-cit-cit-anahtar-30-lu-pm-HBC0000163JHT</t>
  </si>
  <si>
    <t>KOÇTAŞ</t>
  </si>
  <si>
    <t>Lehimli Makaron</t>
  </si>
  <si>
    <t>https://www.hepsiburada.com/teknoseli-lehimli-makaron-p-HBCV00001FCZ1R</t>
  </si>
  <si>
    <t>Devre kart tamiri ve dizgisi için kullanılacaktır.</t>
  </si>
  <si>
    <t>Elektronik çalışmalarda zemin olarak kullanılacaktır.</t>
  </si>
  <si>
    <t>Lehim çalışmalarında stand olarak kullanılacaktır.</t>
  </si>
  <si>
    <t>Devre kart tamirlerinde kullanılacaktır.</t>
  </si>
  <si>
    <t>Devre kart tamir ve dizgisinde kullanılacaktır.</t>
  </si>
  <si>
    <t>Krokodil</t>
  </si>
  <si>
    <t>https://www.hepsiburada.com/rodevino-timsah-agiz-krokodil-test-kablosu-45-50cm-10-lu-pm-HBC000085YH14</t>
  </si>
  <si>
    <t>https://www.hepsiburada.com/digielektro-kablosuz-timsah-agzi-krokodil-buyuk-boy-krokodil-masa-10-adet-pm-HBC000007RUF8</t>
  </si>
  <si>
    <t>Krokodil  Maşası</t>
  </si>
  <si>
    <t>https://www.direnc.net/40-adet-erkek-erkek-jumper-20cm</t>
  </si>
  <si>
    <t>Erkek-Erkek Jumper</t>
  </si>
  <si>
    <t>Erkek-Dişi Jumper</t>
  </si>
  <si>
    <t>https://www.direnc.net/40-adet-disi-erkek-jumper-20cm-1</t>
  </si>
  <si>
    <t>Dişi-Dişi Jumper</t>
  </si>
  <si>
    <t>https://www.robotistan.com/40-pin-ayrilabilen-disi-disi-f-f-jumper-kablo-200-mm?language=tr&amp;h=dcf1e2b4&amp;_sgm_campaign=scn_bfbf067252000&amp;_sgm_source=770&amp;_sgm_action=click</t>
  </si>
  <si>
    <t>https://www.elektrocelik.com/oznur-075mm-nyaf-kablo-kahverengi-100-metre-nyaf-kablo-oznur-elektrocelik</t>
  </si>
  <si>
    <t>0,75mm NYAF Kahverengi</t>
  </si>
  <si>
    <t>0,75mm NYAF Siyah</t>
  </si>
  <si>
    <t>https://www.elektrocelik.com/oznur-075mm-nyaf-kablo-siyah-100-metre-nyaf-kablo-oznur-elektrocelik</t>
  </si>
  <si>
    <t>0,75mm NYAF Kırmızı</t>
  </si>
  <si>
    <t>https://www.elektrocelik.com/oznur-075mm-nyaf-kablo-kirmizi-100-metre-nyaf-kablo-oznur-elektrocelik</t>
  </si>
  <si>
    <t>0,75mm NYAF Mavi</t>
  </si>
  <si>
    <t>https://www.elektrocelik.com/oznur-075mm-nyaf-kablo-mavi-100-metre-nyaf-kablo-oznur-elektrocelik</t>
  </si>
  <si>
    <t>https://www.elektrocelik.com/oznur-075mm-nyaf-kablo-sari-yesil-100-metre-nyaf-kablo-oznur-elektrocelik</t>
  </si>
  <si>
    <t>0,75mm NYAF Sarı-Yeşil</t>
  </si>
  <si>
    <t>ELEKTROÇELİK</t>
  </si>
  <si>
    <t>Lokma Adaptörü Seti</t>
  </si>
  <si>
    <t>Anderson Jack</t>
  </si>
  <si>
    <t>https://www.motorobit.com/anderson-konnektor-50a-600v?srsltid=AfmBOopASi6eGezg6oq8n0fpUPn-ZA4R12WOQdGeWhpHYCOVZAKM639w</t>
  </si>
  <si>
    <t>Batarya bağlantılarında kullanılacaktır.</t>
  </si>
  <si>
    <t>2,6mm İzoleli Yüksük</t>
  </si>
  <si>
    <t>https://www.motorobit.com/ve-0508-10-adet-beyaz-izoleli-tek-girisli-yuksuk?srsltid=AfmBOoo4sFRln6U1A1TpsLwUm0TIUwxkWYYLP_XFOOSnWdp9I4nF0Mmg</t>
  </si>
  <si>
    <t>3mm İzoleli Yüksük</t>
  </si>
  <si>
    <t>https://www.motorobit.com/ve-1008-10-adet-kirmizi-izoleli-tek-girisli-yuksuk</t>
  </si>
  <si>
    <t>3,5mm İzoleli Yüksük</t>
  </si>
  <si>
    <t>https://www.motorobit.com/ve-1508-10-adet-siyah-izoleli-tek-girisli-yuksuk</t>
  </si>
  <si>
    <t>Güvenli kablo bağlantıları için kullanılacaktır.</t>
  </si>
  <si>
    <t>Adaptör</t>
  </si>
  <si>
    <t>https://www.elcelektromarket.com/urun/fnirsi-usb-type-c-pd-sarj-kablosu-100w-pd-gan-adaptor-seti</t>
  </si>
  <si>
    <t>ELC ELEKTROMARKET</t>
  </si>
  <si>
    <t>Havyaları çalıştırmak için kullanılacaktır.</t>
  </si>
  <si>
    <t>https://www.hepsiburada.com/lg-19v-3-42a-6-5-4-4mm-monitor-adaptoru-pm-HBC0000A5MC2W</t>
  </si>
  <si>
    <t>128GB SD Kart</t>
  </si>
  <si>
    <t>https://www.hepsiburada.com/kingston-sdcs2-128gb-128gb-micsdxc-canvas-select-plus-100r-a1-c10-card-adp-hafiza-karti-pm-HB00000P7DD7</t>
  </si>
  <si>
    <t>64GB SD Kart</t>
  </si>
  <si>
    <t>https://www.hepsiburada.com/sandisk-ultra-64gb-140mb-s-microsdxc-uhs-i-hafiza-karti-sdsquab-064g-gn6mn-pm-HBC000039VQE6</t>
  </si>
  <si>
    <t>https://www.hepsiburada.com/kingston-32gb-microsdhc-canvas-select-plus-100r-a1-c10-card-adapter-32gb-sdcs2-pm-HB00000P7DCX</t>
  </si>
  <si>
    <t>32GB SD Kart</t>
  </si>
  <si>
    <t>SD Kart Modülü</t>
  </si>
  <si>
    <t>https://www.direnc.net/arduino-sd-kart-modulu</t>
  </si>
  <si>
    <t>https://www.robocombo.com/200g-075mm-Lehim-Teli-60-Kalay-40-Kursun,PR-524.html</t>
  </si>
  <si>
    <t>https://www.robocombo.com/200g-120mm-lehim-teli-60-kalay-40-kursun</t>
  </si>
  <si>
    <t>Nişadır Havya Temizleyici</t>
  </si>
  <si>
    <t>https://www.robocombo.com/Havya-Ucu-Temizleyici,PR-531.html</t>
  </si>
  <si>
    <t>https://www.direnc.net/proskit-ms-121-vakumlu-tutucu</t>
  </si>
  <si>
    <t>Vakumlu Tutucu</t>
  </si>
  <si>
    <t>Delikli Plaket</t>
  </si>
  <si>
    <t>https://www.robocombo.com/30x20cm-Delikli-Plaket</t>
  </si>
  <si>
    <t>Havya İstasyonu</t>
  </si>
  <si>
    <t>https://www.robocombo.com/sicak-hava-uflemeli-havya-istasyounu-mercek-ve-seh-4425</t>
  </si>
  <si>
    <t>https://www.robocombo.com/zd-180-1.50mm-lehim-sokme-fitili-4409</t>
  </si>
  <si>
    <t>https://www.robocombo.com/zd-180-2mm-lehim-sokme-fitili-4408</t>
  </si>
  <si>
    <t>Flux Krem</t>
  </si>
  <si>
    <t>https://www.hepsiburada.com/amtech-amtech-nc-559-asm-flux-krem-100g-pm-HBC000020CY3X</t>
  </si>
  <si>
    <t>Çip lehim işlemleri için kullanılacaktır.</t>
  </si>
  <si>
    <t>Ardunio Mega 2560 R3</t>
  </si>
  <si>
    <t>https://www.robocombo.com/arduino-mega-2560-r3-klon-ch340-usb-cip-usb-kablo</t>
  </si>
  <si>
    <t>Lora Modülü</t>
  </si>
  <si>
    <t>https://www.robocombo.com/ebyte-e32-433t30d-8km-menzilli-lora-modulu-3813</t>
  </si>
  <si>
    <t>https://www.robotistan.com/sim800c-gprs-modulu?language=tr&amp;h=c083c7b2</t>
  </si>
  <si>
    <t>SIM800C GPRS Modülü</t>
  </si>
  <si>
    <t>MCP2515 Haberleşme Modülü</t>
  </si>
  <si>
    <t>https://www.robotistan.com/mcp2515-canbus-spi-haberlesme-modulu</t>
  </si>
  <si>
    <t>Harici GSM Anten</t>
  </si>
  <si>
    <t>https://www.robotistan.com/lte-g-821-harici-gsm-anten-6568</t>
  </si>
  <si>
    <t>STM32f103C8T6 Arduino Mini Geliştirme Kartı</t>
  </si>
  <si>
    <t>https://www.direnc.net/bluepill-mini-gelistirme-karti</t>
  </si>
  <si>
    <t>DC/DC Konvertör</t>
  </si>
  <si>
    <t>https://www.direnc.net/xl4005-5-32v-125-32v-dc-dc-konvertor</t>
  </si>
  <si>
    <t>USB-TTL Dönüştürücü</t>
  </si>
  <si>
    <t>https://www.robocombo.com/ch340-usb-to-ttl-donusturucu-modul</t>
  </si>
  <si>
    <t>TP4056 Lityum Pil Şarj Modülü</t>
  </si>
  <si>
    <t>https://www.direnc.net/tp4056-18650-lityum-pil-sarj-modulu-usb-tip-c</t>
  </si>
  <si>
    <t>Voltaj Regülatör Kartı</t>
  </si>
  <si>
    <t>https://www.robocombo.com/ams1117-3.3v-voltaj-regulatoru-2727</t>
  </si>
  <si>
    <t>Lineer Voltaj Regülatör</t>
  </si>
  <si>
    <t>https://www.direnc.net/ams1117-smd-3v3-dogrusal-voltaj-regulatoru</t>
  </si>
  <si>
    <t>2'li Pil Yuvası</t>
  </si>
  <si>
    <t>Tekli Pil Yuvası</t>
  </si>
  <si>
    <t>https://www.robocombo.com/18650-2li-pil-yuvasi-kablolu-3353</t>
  </si>
  <si>
    <t>https://www.robocombo.com/18650-Tip-Pil-Yuvasi,PR-1158.html</t>
  </si>
  <si>
    <t>ATMEGA2560-16AU</t>
  </si>
  <si>
    <t>https://www.ozdisan.com/p/mikroislemciler-218/atmel-microchip-atmega2560-16au-409525</t>
  </si>
  <si>
    <t>ÖZDİSAN</t>
  </si>
  <si>
    <t>STM32F407VGT6 32-Bit 168MHz Microcontroller</t>
  </si>
  <si>
    <t>https://www.direnc.net/stm32f407vgt6-smd-32bit-168mhz-mikrodenetleyici-lqfp100-en</t>
  </si>
  <si>
    <t>https://www.ozdisan.com/p/smt-smd-ve-cip-direncler-194/royalohm-1206s4f100jt5e-40354</t>
  </si>
  <si>
    <t>https://www.ozdisan.com/p/logic-kapi-ve-cevirici-entegreleri-248/nexperia-74hc14d-653-39743</t>
  </si>
  <si>
    <t>IC-74HC14 SMD SO14 TR NXP</t>
  </si>
  <si>
    <t>https://www.ozdisan.com/p/lineer-voltaj-regulatorleri-279/ams-ams1117-5-0-350058</t>
  </si>
  <si>
    <t>IC-1117 REG LINEAR 5V 1A SOT223-4</t>
  </si>
  <si>
    <t>https://www.ozdisan.com/p/vida-tipi-konnektorler-342/degson-k34-00ah-495909</t>
  </si>
  <si>
    <t>TERM.BLK.12.00MM BARIYER TYPE</t>
  </si>
  <si>
    <t>https://www.ozdisan.com/p/gecmeli-klemensler-411/degson-15edgk-3-81-02p-11-00ah-740958</t>
  </si>
  <si>
    <t>TERM.BLK.3.81MM 2P FEMALE GRAY</t>
  </si>
  <si>
    <t>https://www.ozdisan.com/p/smt-smd-ve-mlcc-kapasitorler-184/kemet-c0805c106k8ractu-482455</t>
  </si>
  <si>
    <t>https://www.ozdisan.com/p/smt-smd-ve-mlcc-kapasitorler-184/samsung-cl21b104kbcnnnd-341874</t>
  </si>
  <si>
    <t>https://www.ozdisan.com/p/aluminyum-kapasitorler-180/koshin-pkr1-025v101me110-t2-5-36545</t>
  </si>
  <si>
    <t>CAP.EL.100uF 25V 6.3x11 2.5MM 85C TB KOSHIN</t>
  </si>
  <si>
    <t>https://www.ozdisan.com/p/smt-smd-ve-mlcc-kapasitorler-184/samsung-cl21b105kofnnne-29632</t>
  </si>
  <si>
    <t>https://www.ozdisan.com/p/smt-smd-ve-mlcc-kapasitorler-184/samsung-cl21b104kbfwpne-522785</t>
  </si>
  <si>
    <t>https://www.robotistan.com/10k-cok-turlu-trimpot-dik-3296w-1-103</t>
  </si>
  <si>
    <t>10K Çok Turlu Trimpot (Dik) - 3296W-1-103</t>
  </si>
  <si>
    <t>https://www.ozdisan.com/p/zener-diyotlar-390/ons-1sma5918bt3g-431889</t>
  </si>
  <si>
    <t>DIODE ZENER 1.5W 5.1V ±5% DO214AC (SMA) SMT</t>
  </si>
  <si>
    <t>https://www.ozdisan.com/p/genel-amacli-diyotlar-389/diodes-1n4148w-7-f-609850</t>
  </si>
  <si>
    <t>DIODE FAST SWITCHING SINGLE 300mA 100V SMT SOD123</t>
  </si>
  <si>
    <t>https://www.ozdisan.com/p/genel-amacli-diyotlar-389/hottech-es1d-sma-484812</t>
  </si>
  <si>
    <t>DIODE FAST SINGLE 1A 200V SMT DO214AC (SMA)</t>
  </si>
  <si>
    <t>https://www.ozdisan.com/p/sinyal-ledler-tek-renkli-361/liteon-ltst-c170kgkt-26252?categoryName=sinyal-ledler-tek-renkli-361&amp;productSlug=liteon-ltst-c170kgkt-26252</t>
  </si>
  <si>
    <t>LED SMD 0805 GREEN 18-35mcd 130° WATER CLEAR</t>
  </si>
  <si>
    <t>https://www.ozdisan.com/p/gecmeli-klemensler-411/oem-jk2edgk-3-81-05p-14-728675</t>
  </si>
  <si>
    <t>TERM.BLK.3.81MM 5P FEMALE GREEN</t>
  </si>
  <si>
    <t>https://www.ozdisan.com/p/disi-headerlar-294/connfly-ds1002-01-1x2v13-349077</t>
  </si>
  <si>
    <t>FEMALE HEADER 2PIN(1x2) 2.54mm THT V/T MACHINE PIN</t>
  </si>
  <si>
    <t>https://www.ozdisan.com/p/sabit-induktorler-468/oem-ys54-331m-535442</t>
  </si>
  <si>
    <t>INDUCTOR 330uH SMD</t>
  </si>
  <si>
    <t>https://www.ozdisan.com/p/driver-receiver-ve-transceiver-entegreleri-229/microchip-mcp2551-i-sn-335441</t>
  </si>
  <si>
    <t>IC-2551 HIGHSPEED CAN TRANSCEIVER 8SOIC MICROCHIP</t>
  </si>
  <si>
    <t>https://www.ulutaselektronik.com/urun/irfp4668pbf-to-247-200v-130a-mosfet</t>
  </si>
  <si>
    <t>IRFP4668PBF TO-247 200V 130A MOSFET</t>
  </si>
  <si>
    <t>https://www.ozdisan.com/p/discrete-transistorler-442/ons-bc847blt1g-623106</t>
  </si>
  <si>
    <t>TRANSISTOR DIS.100mA 45V NPN SOT23 GEN. SMT</t>
  </si>
  <si>
    <t>https://www.ozdisan.com/p/smt-smd-ve-cip-direncler-194/yageo-rc0805jr-074k7l-837266</t>
  </si>
  <si>
    <t>https://www.ozdisan.com/p/smt-smd-ve-cip-direncler-194/yageo-rc0805jr-071kl-458683</t>
  </si>
  <si>
    <t>https://www.ozdisan.com/p/smt-smd-ve-cip-direncler-194/royalohm-0805s8f4991t5e-343186</t>
  </si>
  <si>
    <t>https://www.ozdisan.com/p/smt-smd-ve-cip-direncler-194/royalohm-0805s8j0302t5e-31202</t>
  </si>
  <si>
    <t>RES.(2012) 0805 3K Ohms 5% 1/8W-S 100PPM</t>
  </si>
  <si>
    <t>https://www.ozdisan.com/p/smt-smd-ve-cip-direncler-194/yageo-rc0805jr-07100rl-618202</t>
  </si>
  <si>
    <t>https://www.ozdisan.com/p/smt-smd-ve-cip-direncler-194/viking-crt05j7e2201-1054404</t>
  </si>
  <si>
    <t>https://www.ozdisan.com/p/smt-smd-ve-cip-direncler-194/yageo-rc0805jr-0747kl-837264</t>
  </si>
  <si>
    <t>https://www.ozdisan.com/p/smt-smd-ve-cip-direncler-194/royalohm-as122wk0100t4e-995132</t>
  </si>
  <si>
    <t>https://www.ozdisan.com/p/smt-smd-ve-cip-direncler-194/yageo-rc0805jr-0722kl-535083</t>
  </si>
  <si>
    <t>https://www.ozdisan.com/p/smt-smd-ve-cip-direncler-194/royalohm-0805s8j0150t5e-340449</t>
  </si>
  <si>
    <t>https://www.ozdisan.com/p/smt-smd-ve-cip-direncler-194/yageo-rc0805jr-07100kl-837186</t>
  </si>
  <si>
    <t>https://www.ozdisan.com/p/smt-smd-ve-cip-direncler-194/royalohm-cq05w8f390jt5e-594604</t>
  </si>
  <si>
    <t>https://www.ozdisan.com/p/smt-smd-ve-cip-direncler-194/yageo-rc0805jr-0710kl-515420</t>
  </si>
  <si>
    <t>https://www.ozdisan.com/p/smt-smd-ve-cip-direncler-194/yageo-rc0805jr-0710rl-497702</t>
  </si>
  <si>
    <t>https://www.ozdisan.com/p/smt-smd-ve-cip-direncler-194/panasoniceurope-erj6enf1200v-614763</t>
  </si>
  <si>
    <t>https://www.ozdisan.com/p/tact-sivicler-485/e-switch-tl1015af160qg-611955</t>
  </si>
  <si>
    <t>SWITCH TACT 3.90x2.90 2.00mm 160gF SMT V/T</t>
  </si>
  <si>
    <t>https://www.ozdisan.com/p/pin-headerlar-293/kls-electronic-l-kls1-207-1-04-s-480971?categoryName=pin-headerlar-293&amp;productSlug=kls-electronic-l-kls1-207-1-04-s-480971</t>
  </si>
  <si>
    <t>PIN HEADER 4PIN(1x4) 2.54mm THT V/T</t>
  </si>
  <si>
    <t>https://www.ozdisan.com/p/genel-tip-trafolar-471/ventech-022080-464590</t>
  </si>
  <si>
    <t>TRANSFORMER HIGH FREQUENCY VENTECH</t>
  </si>
  <si>
    <t>https://karakoyelektronik.com/acdc-cevirici-offline-switch/fsbh0170any-87186</t>
  </si>
  <si>
    <t>FSBH0170ANY, BH0170A, DIP-8 Entegre Devre</t>
  </si>
  <si>
    <t>https://www.ozdisan.com/p/voltaj-referans-entegreleri-287/texas-tl431aidbzr-341981</t>
  </si>
  <si>
    <t>IC-431 REFERENCE Z-DIODE +2,5..36V SOT23-3</t>
  </si>
  <si>
    <t>https://www.ozdisan.com/p/transistor-ve-fotovoltaik-cikisli-optokuplorler-189/toshiba-tlp126-tpl-f-341257</t>
  </si>
  <si>
    <t>IC-126 OPTOISO MFSOP6 4PIN TOSHIBA</t>
  </si>
  <si>
    <t>https://www.ozdisan.com/p/guc-surucu-entegreleri-270/infineon-2eds8265hxuma1-650229</t>
  </si>
  <si>
    <t>IC-8265 GATE DRVR HALF-BRIDG DSO16-30</t>
  </si>
  <si>
    <t>https://www.ozdisan.com/p/kristaller-508/raltron-as-8-000-20-h35-40687</t>
  </si>
  <si>
    <t>CRYSTAL 8MHz HC49S 20pF 30PPM SHORT BULK RALTRON</t>
  </si>
  <si>
    <t>https://www.pilevreni.com/200-amper-disi-erkek-konnektor-cifti?srsltid=AfmBOorUOIs4PZg1RM9_ePwE8WQc-W8IpW9k7xj7fvu8KM5aYDyE4zgw</t>
  </si>
  <si>
    <t>200 Amper Dişi Erkek Konnektör Çifti</t>
  </si>
  <si>
    <t>PİLEVRENİ</t>
  </si>
  <si>
    <t>XT90 Erkek Konnektör</t>
  </si>
  <si>
    <t>XT90 Dişi Konnektör</t>
  </si>
  <si>
    <t>https://www.motorobit.com/xt90-disi-konnektor?srsltid=AfmBOopdI_tLkgNmjq7fViVSnvCDjtk-9fIZF23xPqbIz0akzHgzhBH9</t>
  </si>
  <si>
    <t>https://www.motorobit.com/xt90-erkek-konnektor?srsltid=AfmBOop7sKrYD2cUk-YS3E6VWiPDc0Th_U8BosJ4gpWhtDjaKK3wg47A</t>
  </si>
  <si>
    <t>10K NTC</t>
  </si>
  <si>
    <t>https://www.ulutaselektronik.com/urun/25-adet-10nf-100v-0805-10-x7r-smd-kondansator?srsltid=AfmBOoqhpz8FnNPFMF3iECOd2j8M29m3ynRWlHv2EBfT0ZJZcRz0MzvG</t>
  </si>
  <si>
    <t>10NF 100V 0805 %10 X7R SMD KONDANSATÖR</t>
  </si>
  <si>
    <t>https://www.ozdisan.com/p/smt-smd-ve-mlcc-kapasitorler-184/samsung-cl21b104kcfnnne-470410</t>
  </si>
  <si>
    <t>MLCC 0805 100nF 100VDC ±10% X7R</t>
  </si>
  <si>
    <t>https://www.ozdisan.com/p/smt-smd-ve-mlcc-kapasitorler-184/yageo-cc0805krx7r9bb104-497698</t>
  </si>
  <si>
    <t>MLCC 0805 100nF 50VDC ±10% X7R</t>
  </si>
  <si>
    <t>https://www.ozdisan.com/p/smt-smd-ve-mlcc-kapasitorler-184/kemet-c1210c104kbracauto-627400</t>
  </si>
  <si>
    <t>MLCC 1210 100nF 630VDC ±10% X7R AUTOMOTIVE</t>
  </si>
  <si>
    <t>https://www.ozdisan.com/p/smt-smd-ve-mlcc-kapasitorler-184/yageo-cc0805kkx7rbbb103-750339</t>
  </si>
  <si>
    <t>MLCC 0805 10nF 500VDC ±10% X7R</t>
  </si>
  <si>
    <t>https://www.ozdisan.com/p/smt-smd-ve-mlcc-kapasitorler-184/samsung-cl21b105kofvpne-522816</t>
  </si>
  <si>
    <t>MLCC 0805 1uF 16VDC ±10% X7R AUTOMOTIVE</t>
  </si>
  <si>
    <t>https://www.e-komponent.com/ceramic-capacitors-15455?srsltid=AfmBOop8u4nxd7CL9DIaZ4Ovo2vVgZmgyd4tjpE0p4PSsonP_PpfHg-J</t>
  </si>
  <si>
    <t>22 pF ±5% 50V Seramik Kondansatör C0G, NP0 0805</t>
  </si>
  <si>
    <t>https://www.e-komponent.com/25zlh470mefc10x125-rubycon-aluminyum-elektrolitik-kapasitor?srsltid=AfmBOorQK_UNTK0t7ekt7d8nua2gLi4KrU_75APDfchbvWE7c473hmyk</t>
  </si>
  <si>
    <t>25ZLH470MEFC10X12.5 - RUBYCON - CAP ALUM 470UF 20% 25V RADIAL TH</t>
  </si>
  <si>
    <t>https://www.e-komponent.com/current-sensor-acs758lcb-100b-pff-t?srsltid=AfmBOoqS4O_pOsAeRHNADKKaiEQIOMkPPkduh6IX34tcyOQbpvy0rOUI</t>
  </si>
  <si>
    <t>ACS758LCB-100B-PFF-T - ALLEGRO MICROSYSTEMS - SENSOR CURRENT HALL 100A 5-CB</t>
  </si>
  <si>
    <t>AMS1117 3.3V 1A Lineer Voltaj Regülatör SOT223</t>
  </si>
  <si>
    <t>STM32F103C8T6</t>
  </si>
  <si>
    <t>https://www.robocombo.com/2li-Gecmeli-Klemens-381mm-90-Derece,PR-949.html?srsltid=AfmBOor-x_28nrVK_3U_dOqk87JWGJ13WmDCG54L3eCnGJE-0AZN1fbj</t>
  </si>
  <si>
    <t>2'li Geçmeli Klemens (3,81mm 90 Derece)</t>
  </si>
  <si>
    <t>https://www.robocombo.com/2li-Gecmeli-Klemens-381mm-180-Derece,PR-948.html?srsltid=AfmBOoq-zeBaVHkGwpf8gll89Fc-wXhvlaCMM7qJWM8zCfGxmLg-wr0P</t>
  </si>
  <si>
    <t>2'li Geçmeli Klemens (3,81mm 180 Derece)</t>
  </si>
  <si>
    <t>https://www.ozdisan.com/p/transistor-ve-fotovoltaik-cikisli-optokuplorler-189/isocom-is280-4-635840</t>
  </si>
  <si>
    <t>IC-280-4 OPTOISO TRANSISTOR 27MM SMD16</t>
  </si>
  <si>
    <t>https://www.ozdisan.com/p/film-kapasitorler-179/kemet-r82ec3220dq70j-28493</t>
  </si>
  <si>
    <t>CAP.POL.220nF 100VDC 5MM 5% MKT TB</t>
  </si>
  <si>
    <t>https://www.direnc.net/10uf-25v-10-x7r-1206-smd-kondansator</t>
  </si>
  <si>
    <t>22uF 25V 10% x5R 1206 SMD Kondansatör</t>
  </si>
  <si>
    <t>SMD Kondansatör 0805 2nF 50V ±10% X7R</t>
  </si>
  <si>
    <t>https://www.ozdisan.com/p/aluminyum-kapasitorler-180/koshin-pklh-025v471mf120-t-a3-5-473538</t>
  </si>
  <si>
    <t>CAP.EL.470uF 25V 8x12 3.5MM 105C L.ESR 3000H TB</t>
  </si>
  <si>
    <t>Ruifeng Fabric Karbon Elyaf Kumaş Twill 1K 93 g 100 cm</t>
  </si>
  <si>
    <t>1m²</t>
  </si>
  <si>
    <t>https://kompozitpazari.com/urun/ruifeng-fabric-karbon-elyaf-kumas-twill-1k-93-g-100-cm/</t>
  </si>
  <si>
    <t>Karbon Kumaş 200 g/m2 Twill</t>
  </si>
  <si>
    <t>https://kompozitpazari.com/urun/karbon-dokuma-200-g-m2-twill/</t>
  </si>
  <si>
    <t>Cam Elyaf Keçe 300 g/m² Toz Bağlayıcılı</t>
  </si>
  <si>
    <t xml:space="preserve">https://kompozitpazari.com/urun/cam-elyaf-kece-300-g-m2-toz-baglayicili/ </t>
  </si>
  <si>
    <t>Polyester Genel Amaçlı Orto CE 92</t>
  </si>
  <si>
    <t>18lt</t>
  </si>
  <si>
    <t xml:space="preserve">https://kompozitpazari.com/urun/ce-92-genel-amacli-polyester-recine/ </t>
  </si>
  <si>
    <t>EGECat KobaltOkt %6</t>
  </si>
  <si>
    <t>5lt</t>
  </si>
  <si>
    <t xml:space="preserve">https://kompozitpazari.com/urun/egecat-kobaltokt-6/ </t>
  </si>
  <si>
    <t>Epoksi Reçine</t>
  </si>
  <si>
    <t>1 ADET SET</t>
  </si>
  <si>
    <t xml:space="preserve">https://teknoresin.com/ </t>
  </si>
  <si>
    <t>Model Macunu</t>
  </si>
  <si>
    <t xml:space="preserve">https://kompozitpazari.com/urun/model-macunu/ </t>
  </si>
  <si>
    <t xml:space="preserve">Sparco Yarış Tulumu </t>
  </si>
  <si>
    <t xml:space="preserve">https://www.sparco.com.tr/urun/sparco-new-sprint-fia-onayli-yaris-tulumu_12550.aspx?CatId=2024 </t>
  </si>
  <si>
    <t>GFM Vakum Sızdırmazlık Macunu </t>
  </si>
  <si>
    <t xml:space="preserve">https://kompozitpazari.com/urun/gfm-vakum-sizdirmazlik-macunu-gfm-1bt205i-y-sari-205-c/ </t>
  </si>
  <si>
    <t>GFM Vakum Torbası</t>
  </si>
  <si>
    <t xml:space="preserve">https://kompozitpazari.com/urun/gfm-vakum-torbasi-gfm-1vb001-tube-23-m-150-m-180-c/ </t>
  </si>
  <si>
    <t>M048 PVC Köpük - 10 mm - Büyük Plaka - 2730 X 1270 mm</t>
  </si>
  <si>
    <t xml:space="preserve">https://kompozitpazari.com/urun/m048-pvc-kopuk/ </t>
  </si>
  <si>
    <t>M048 PVC Köpük - 20 mm</t>
  </si>
  <si>
    <t>Yarış Ayakkabısı</t>
  </si>
  <si>
    <t xml:space="preserve">https://www.sparco.com.tr/urun/sparco-new-2020-slalom---fia-onayli-yaris-ayakkabisi_12567.aspx?CatId=2030 </t>
  </si>
  <si>
    <t>Jelkot Kalınlığı Ölçüm Tarağı</t>
  </si>
  <si>
    <t xml:space="preserve">https://kompozitpazari.com/urun/jelkot-kalinligi-olcum-taragi-yas-film-kalinlik-olcum-taragi/ </t>
  </si>
  <si>
    <t>Plastik Kalıp Ayırma Kaması 100 mm</t>
  </si>
  <si>
    <t xml:space="preserve">https://kompozitpazari.com/urun/plastik-kalip-ayirma-kamasi-100-mm/ </t>
  </si>
  <si>
    <t>Prepreg Laminasyon Spatülü </t>
  </si>
  <si>
    <t xml:space="preserve">https://kompozitpazari.com/urun/prepreg-laminasyon-spatulu-3lu-set-yarim-daire-tam-daire-dikdortgen/ </t>
  </si>
  <si>
    <t>Ölçüm ve Karıştırma Kabı </t>
  </si>
  <si>
    <t xml:space="preserve">https://kompozitpazari.com/urun/olcum-ve-karistirma-kabi-1300-cc/ </t>
  </si>
  <si>
    <t>MEK-P Ölçüm Kabı </t>
  </si>
  <si>
    <t xml:space="preserve">https://kompozitpazari.com/urun/mek-p-olcum-kabi-500-ml/ </t>
  </si>
  <si>
    <t>Rulo Asacağı</t>
  </si>
  <si>
    <t xml:space="preserve">https://kompozitpazari.com/urun/rulo-asacagi-duvar-tipi/ </t>
  </si>
  <si>
    <t>Demirbaş</t>
  </si>
  <si>
    <t>KG</t>
  </si>
  <si>
    <t>TEKNORESİN</t>
  </si>
  <si>
    <t>PROFORMA</t>
  </si>
  <si>
    <t>SPARCO</t>
  </si>
  <si>
    <t>Kapton Bant 30mm x 30M</t>
  </si>
  <si>
    <t>https://www.motorobit.com/isiya-dayanikli-kapton-bant-30mm-x-30m</t>
  </si>
  <si>
    <t>https://www.motorobit.com/isiya-dayanikli-kapton-bant-10mm-x-30m</t>
  </si>
  <si>
    <t>Kapton Bant 10mm x 30M</t>
  </si>
  <si>
    <t>Pil Kaplama Makaronu</t>
  </si>
  <si>
    <t>Yşb için kullanılacaktır.</t>
  </si>
  <si>
    <t>ALTINKAYA</t>
  </si>
  <si>
    <t>KARAKÖYELEKTRONİK</t>
  </si>
  <si>
    <t>ULUTAŞELEKTRONİK</t>
  </si>
  <si>
    <t>https://www.meltisteknoloji.com/110mm-mavi-batarya-kaplama-shrink-isiyla-daralan-pvc-makaron-1199</t>
  </si>
  <si>
    <t>MELTİS TEKNOLOJİ</t>
  </si>
  <si>
    <t>Güç Kaynağı</t>
  </si>
  <si>
    <t>https://www.ozdisan.com/p/smt-smd-ve-mlcc-kapasitorler-184/yageo-cc0805kkx7r0bb224-617904</t>
  </si>
  <si>
    <t>MLCC 0805 220nF 100VDC ±10% X7R</t>
  </si>
  <si>
    <t>https://www.ozdisan.com/p/smt-smd-ve-cip-direncler-194/royalohm-hp05w3f1001t5e-604213</t>
  </si>
  <si>
    <t>RES. 0805 1K Ohms 1% 1/3W</t>
  </si>
  <si>
    <t>https://www.ozdisan.com/p/zener-diyotlar-390/panjit-mmsz5252b-r1-00001-563676</t>
  </si>
  <si>
    <t>DIODE ZENER 500mW 24V ±5% SOD123 SMT</t>
  </si>
  <si>
    <t>https://www.ozdisan.com/p/smt-smd-ve-cip-direncler-194/royalohm-hp05w3j0104t5e-604342</t>
  </si>
  <si>
    <t>https://www.ozdisan.com/p/smt-smd-ve-cip-direncler-194/royalohm-hp05w3j0103t5e-604332</t>
  </si>
  <si>
    <t>https://www.ozdisan.com/p/transistor-ve-fotovoltaik-cikisli-optokuplorler-189/ixys-clare-cpc1001n-572115</t>
  </si>
  <si>
    <t>IC-1001 OPTOISO SINGLE TRANSISTOR SOP4</t>
  </si>
  <si>
    <t>RES. 0805 100K Ohms 5% 1/3W</t>
  </si>
  <si>
    <t>RES. 0805 10K Ohms 5% 1/3W</t>
  </si>
  <si>
    <t>https://www.ozdisan.com/p/smt-smd-ve-cip-direncler-194/royalohm-hp05w3f2201t5e-604221</t>
  </si>
  <si>
    <t>RES. 0805 2.2K Ohms 1% 1/3W</t>
  </si>
  <si>
    <t>https://www.ozdisan.com/p/smt-smd-ve-cip-direncler-194/viking-crt05j7e5602-1054417</t>
  </si>
  <si>
    <t>RES. 0805 56K Ohms 5% 1/8W-S 100PPM</t>
  </si>
  <si>
    <t>https://www.ozdisan.com/p/smt-smd-ve-cip-direncler-194/royalohm-hp05w3f2001t5e-604220</t>
  </si>
  <si>
    <t>RES. 0805 2K Ohms 1% 1/3W</t>
  </si>
  <si>
    <t>https://www.ozdisan.com/p/smt-smd-ve-cip-direncler-194/royalohm-hp05w3f3300t5e-604201</t>
  </si>
  <si>
    <t>RES. 0805 330 Ohms 1% 1/3W</t>
  </si>
  <si>
    <t>https://www.ozdisan.com/p/smt-smd-ve-mlcc-kapasitorler-184/samsung-cl21b102kc6wpnc-522755</t>
  </si>
  <si>
    <t>MLCC 0805 1nF 100VDC ±10% X7R AUTOMOTIVE</t>
  </si>
  <si>
    <t>https://www.ozdisan.com/p/zener-diyotlar-390/panjit-1sma4744-r1-00001-409669</t>
  </si>
  <si>
    <t>DIODE ZENER 1W 15V ±5% DO214AC (SMA) SMT</t>
  </si>
  <si>
    <t>https://www.ozdisan.com/p/smt-smd-ve-cip-direncler-194/viking-crt05f7e5102-1206440</t>
  </si>
  <si>
    <t>RES. 0805 51K Ohms 1% 1/8W 100PPM</t>
  </si>
  <si>
    <t>https://www.ozdisan.com/p/smt-smd-ve-mlcc-kapasitorler-184/murata-grm21br6ya106me43l-518033</t>
  </si>
  <si>
    <t>MLCC 0805 10uF 35VDC ±20% X5R</t>
  </si>
  <si>
    <t>https://www.ozdisan.com/p/smt-smd-ve-cip-direncler-194/royalohm-1206s4f1803t5e-40356</t>
  </si>
  <si>
    <t>RES. 1206 180K Ohms 1% 1/4W-S 100PPM</t>
  </si>
  <si>
    <t>https://www.ozdisan.com/p/smt-smd-ve-mlcc-kapasitorler-184/yageo-cc1206kkx7r0bb104-749626</t>
  </si>
  <si>
    <t>MLCC 1206 100nF 100VDC ±10% X7R</t>
  </si>
  <si>
    <t>https://www.ozdisan.com/p/smt-smd-ve-mlcc-kapasitorler-184/samsung-cl31a106kbhnnne-437276</t>
  </si>
  <si>
    <t>MLCC 1206 10uF 50VDC ±10% X5R</t>
  </si>
  <si>
    <t>https://www.ozdisan.com/p/smt-smd-ve-cip-direncler-194/royalohm-hp06w2f100jt5e-585260</t>
  </si>
  <si>
    <t>RES.(3216) 1206 10 Ohms 1% 1/2W</t>
  </si>
  <si>
    <t>https://www.ozdisan.com/p/smt-smd-ve-cip-direncler-194/royalohm-1206s4f220jt5e-35637</t>
  </si>
  <si>
    <t>RES. 1206 22 Ohms 1% 1/4W-S 200PPM</t>
  </si>
  <si>
    <t>https://www.ozdisan.com/p/smt-smd-ve-mlcc-kapasitorler-184/samsung-cl31b221kbcnnnc-523381</t>
  </si>
  <si>
    <t>MLCC 1206 220pF 50VDC ±10% X7R</t>
  </si>
  <si>
    <t>https://www.ozdisan.com/p/smt-smd-ve-cip-direncler-194/royalohm-hp05w3f1502t5e-604244</t>
  </si>
  <si>
    <t>https://www.ozdisan.com/p/smt-smd-ve-cip-direncler-194/viking-crt05f7e1203-1202378</t>
  </si>
  <si>
    <t>https://www.ozdisan.com/p/smt-smd-ve-cip-direncler-194/royalohm-0805s8j0433t5e-36003</t>
  </si>
  <si>
    <t>RES. 0805 43K Ohms 5% 1/8W-S 100PPM</t>
  </si>
  <si>
    <t>RES. 0805 120K Ohms 1% 1/8W 100PPM</t>
  </si>
  <si>
    <t>RES. 0805 15K Ohms 1% 1/3W</t>
  </si>
  <si>
    <t>https://www.ozdisan.com/p/smt-smd-ve-cip-direncler-194/royalohm-0805s8j0913t5e-343212</t>
  </si>
  <si>
    <t>RES. 0805 91K Ohms 5% 1/8W-S 100PPM</t>
  </si>
  <si>
    <t>https://www.ozdisan.com/p/ac-dc-cevirici-ve-offline-switch-entegreleri-271/ons-ncp1252ddr2g-732373</t>
  </si>
  <si>
    <t>IC-1252 CM PWM CONTROLLER</t>
  </si>
  <si>
    <t>https://www.ozdisan.com/p/smt-smd-ve-cip-direncler-194/royalohm-hp06w2f510kt5e-585261</t>
  </si>
  <si>
    <t>https://www.ozdisan.com/p/smt-smd-ve-cip-direncler-194/royalohm-1206s4f8203t5e-402502</t>
  </si>
  <si>
    <t>RES. 1206 820K Ohms 1% 1/4W-S 100PPM</t>
  </si>
  <si>
    <t>RES. 1206 5.1 Ohms 1% 1/2W</t>
  </si>
  <si>
    <t>https://www.ozdisan.com/p/smt-smd-ve-cip-direncler-194/royalohm-1206s4f6803t5e-335069</t>
  </si>
  <si>
    <t>RES. 1206 680K Ohms 1% 1/4W-S 100PPM</t>
  </si>
  <si>
    <t>https://www.ozdisan.com/p/smt-smd-ve-cip-direncler-194/royalohm-1206s4j0753t5e-453076</t>
  </si>
  <si>
    <t>RES. 1206 75K Ohms 5% 1/4W-S 200PPM</t>
  </si>
  <si>
    <t>https://www.ozdisan.com/p/smt-smd-ve-cip-direncler-194/royalohm-hp06w2f3303t5e-604451</t>
  </si>
  <si>
    <t>RES. 1206 330K Ohms 1% 1/2W</t>
  </si>
  <si>
    <t>https://www.ozdisan.com/p/smt-smd-ve-cip-direncler-194/royalohm-1206s4f300jt5e-453067</t>
  </si>
  <si>
    <t>https://www.ozdisan.com/p/smt-smd-ve-cip-direncler-194/panasoniceurope-erj8enf1001v-623005</t>
  </si>
  <si>
    <t>RES. 1206 1K Ohms 1% 1/4W AEC-Q20</t>
  </si>
  <si>
    <t>RES. 1206 30 Ohms 1% 1/4W-S 200PPM</t>
  </si>
  <si>
    <t>https://www.ozdisan.com/p/sinyal-ledler-tek-renkli-361/honglitronic-hl-psc-2012u51gc-471651</t>
  </si>
  <si>
    <t>LED SMD 0805 GREEN 550mcd 120° WATER CLEAR</t>
  </si>
  <si>
    <t>https://www.ozdisan.com/p/disi-headerlar-294/connfly-ds1023-1x2s21-352058</t>
  </si>
  <si>
    <t>FEMALE HEADER 2PIN(1x2) 2.54mm THT V/T TRAY</t>
  </si>
  <si>
    <t>https://www.ozdisan.com/p/trimpot-potansiyometreler-396/bonens-3266w-1-103lf-bn-512599</t>
  </si>
  <si>
    <t>TRIMPOT CERMET MULTI TURN VER.ADJ 10K 0.25W</t>
  </si>
  <si>
    <t>https://www.ozdisan.com/p/ntc-termistorler-852/dxm-mf72-10d9-515994?s=MF72-10D9</t>
  </si>
  <si>
    <t>THERMISTOR NTC 10R 9.8MM 2A 20% P:5mm</t>
  </si>
  <si>
    <t>https://www.motorobit.com/3-pin-bariyer-klemens?srsltid=AfmBOoohdmk2iJwL28z2WAPtsVeEbhq5LEDqvG6vBQeVfrEGM1faqndO</t>
  </si>
  <si>
    <t>3 Pin Bariyer Klemens - 7.62mm KF25C</t>
  </si>
  <si>
    <t>https://www.ozdisan.com/p/seramik-kapasitorler-181/kls-electronic-l-kls10-hv16-2kv-y5v-22-529358</t>
  </si>
  <si>
    <t>CAP.CER.22nF 2000V 10MM %20 Y5V</t>
  </si>
  <si>
    <t>https://www.alkayaelektronik.com/01-nf-250v?srsltid=AfmBOopDE2tbt9Uq5H6jwiqN4eSA4_Y7YBXNUOh8TZAwI9KNYm6nDvry</t>
  </si>
  <si>
    <t>0.1 Nf 250V</t>
  </si>
  <si>
    <t>https://www.ozdisan.com/p/smt-smd-ve-mlcc-kapasitorler-184/samsung-cl31a107mqhnnne-523291</t>
  </si>
  <si>
    <t>MLCC 1206 100uF 6.3VDC ±20% X5R</t>
  </si>
  <si>
    <t>https://www.ozdisan.com/p/smt-smd-ve-mlcc-kapasitorler-184/murata-gcm21bc72a105ke36l-627395</t>
  </si>
  <si>
    <t>MLCC 0805 1UF 100V X7S AUTOMOTIVE</t>
  </si>
  <si>
    <t>https://www.ozdisan.com/p/smt-smd-ve-mlcc-kapasitorler-184/samsung-cl21y105kcfvpje-634349</t>
  </si>
  <si>
    <t>https://www.ozdisan.com/p/smt-smd-ve-mlcc-kapasitorler-184/kyocera-avx-kgm21bcg2a220kt-1056459</t>
  </si>
  <si>
    <t>MLCC 0805 1uF 100VDC ±10% X7S AUTOMOTIVE</t>
  </si>
  <si>
    <t>MLCC 0805 22pF 100VDC ±10% C0G (NP0)</t>
  </si>
  <si>
    <t>https://www.ozdisan.com/p/trimpot-potansiyometreler-396/bourns-3361p-1-103glf-410905</t>
  </si>
  <si>
    <t>TRIMMER 10K OHM 0.5W GW TOP ADJ</t>
  </si>
  <si>
    <t>https://karakoyelektronik.com/tht-sigorta/t10a-250-kondansator-tip-sigorta-93550?srsltid=AfmBOor9ikk2Go_btwj_ZncFmkL2dNLLsWGp5jCYor88diYPdd-cByFL</t>
  </si>
  <si>
    <t>T10A-250V, 10A 250V (T) Gecikmeli Kondansatör Tip Sigorta</t>
  </si>
  <si>
    <t>https://www.ozdisan.com/p/amplifikatorler-242/texas-lm358mx-nopb-731895</t>
  </si>
  <si>
    <t>IC OPAMP GP 2 CIRCUIT 8SOIC</t>
  </si>
  <si>
    <t>https://www.ozdisan.com/p/discrete-mosfetler-435/ixys-ixth20n65x2-634390</t>
  </si>
  <si>
    <t>MOSFET DIS.20A 650V N-CH TO-247AD ULTRA JUNCTION</t>
  </si>
  <si>
    <t>https://www.ozdisan.com/p/smt-smd-ve-cip-direncler-194/royalohm-0805s8j0000tde-352215</t>
  </si>
  <si>
    <t>RES.(2012) 0805 0 Ohms 5% 1/8W-S 800PPM</t>
  </si>
  <si>
    <t>https://www.ozdisan.com/p/smt-smd-ve-cip-direncler-194/royalohm-as05w2j0121t5e-745552</t>
  </si>
  <si>
    <t>RES.(2012) 0805 120 Ohm 5% 1/2W</t>
  </si>
  <si>
    <t>https://www.ozdisan.com/p/smt-smd-ve-cip-direncler-194/viking-crt05j7e2002-1054419</t>
  </si>
  <si>
    <t>RES.(2012) 0805 20K Ohms 5% 1/8W-S 100PPM</t>
  </si>
  <si>
    <t>https://www.direnc.net/3-pin-381mm-90-gecmeli-takim-klemens</t>
  </si>
  <si>
    <t>3 Pin 3.81mm Dişi Geçmeli Yeşil Klemens</t>
  </si>
  <si>
    <t>https://www.motorobit.com/2-pinli-3x4mm-mini-smd-buton?srsltid=AfmBOoqunyp-mAhVAHNZYVUn0Y7DdyhoDzeqSG2Okh6HvBT0nTcuNm4P</t>
  </si>
  <si>
    <t>2 Pinli 3x4mm Mini SMD Buton</t>
  </si>
  <si>
    <t>https://www.ozdisan.com/p/schottky-diyotlar-385/panjit-mbr60200pt-t0-00001-509124</t>
  </si>
  <si>
    <t>DIODE SCHOTTKY 2x30A 200V TO247AD</t>
  </si>
  <si>
    <t>1x5 Header Erkek 10 Adet Siyah 2,54mm 180 Derece Black</t>
  </si>
  <si>
    <t>https://www.motorobit.com/uu105-04mm-20mh-choke-bobin?srsltid=AfmBOooN_rRCVhv5RGr_8r0sIBsCIwNwfcrqk-wzxSU_aY60aK4RddYO</t>
  </si>
  <si>
    <t>UU10.5 0.4mm 20MH Choke Bobin</t>
  </si>
  <si>
    <t>https://www.direnc.net/470nf-275vac-10-polyester-kondansator-x2-15mm</t>
  </si>
  <si>
    <t>470nF 275Vac 10% Polyester Kondansatör X2 15mm</t>
  </si>
  <si>
    <t>https://www.ozdisan.com/p/aluminyum-kapasitorler-180/koshin-pkrh-500v680mk300-735826</t>
  </si>
  <si>
    <t>CAP.EL.68UF 500V 18X30 105C %20 3000HRS RADIAL</t>
  </si>
  <si>
    <t>https://www.ozdisan.com/p/mikroislemciler-218/atmel-microchip-atmega328p-au-417001</t>
  </si>
  <si>
    <t>IC-328 MCU 8BIT 32KB FLASH 32TQPF ATMEL</t>
  </si>
  <si>
    <t>https://www.komponentci.net/max485esa-soic8-surucu-ve-transceiver-entegresi-pmu1499</t>
  </si>
  <si>
    <t>MAX485ESA Soic8 - Sürücü ve Transceiver Entegresi</t>
  </si>
  <si>
    <t>https://www.direnc.net/16000mhz-smd-kristal-hc-49us</t>
  </si>
  <si>
    <t>16.000 MHz SMD Kristal HC-49Us</t>
  </si>
  <si>
    <t>https://www.ozdisan.com/p/lineer-voltaj-regulatorleri-279/diodes-ap1117e33g-13-1211266</t>
  </si>
  <si>
    <t>IC REG LINEAR 3.3V 1A SOT-223-3</t>
  </si>
  <si>
    <t>https://www.ozdisan.com/p/kopru-diyotlar-387/panjit-kbj3512-b0-10001-584894</t>
  </si>
  <si>
    <t>DIODE BRIDGE 35A 1200V 1PH KBJ THT</t>
  </si>
  <si>
    <t>https://www.ozdisan.com/p/smt-smd-ve-mlcc-kapasitorler-184/samsung-cl21b471kbannnc-10430</t>
  </si>
  <si>
    <t>MLCC (2012) 0805 470pF 50VDC ±10% X7R</t>
  </si>
  <si>
    <t>Ardunio Uno Klon</t>
  </si>
  <si>
    <t>https://www.robotistan.com/arduino-uno-r3-klon-usb-kablo-hediyeli-usb-chip-ch340#:~:text=Arduino%20UNO%2C%20mikrodenetleyici%20tabanlı%20projeler,elektronik%20bileşenlerle%20kolayca%20entegre%20edilebilir.</t>
  </si>
  <si>
    <t>https://www.ulutaselektronik.com/urun/stm32f103c8t6-lqfp-48-mcu-mikrodenetleyici?srsltid=AfmBOorWGFdr_Y2kKj9HJF_-i3UHKX0sl_ysHYg9J_BRKdg5O3r1eFcM</t>
  </si>
  <si>
    <t>EKOMPONENT.COM</t>
  </si>
  <si>
    <t>https://karakoyelektronik.com/amplifikatorler/lm358dt-18695?srsltid=AfmBOormcKLBEDVNAgzrurXPV0t5Wq0tmMbUmE3AgMqW7GXB3vBr9lm7</t>
  </si>
  <si>
    <t>LM358DT, 358, SOIC-8 SMD Entegre Devre</t>
  </si>
  <si>
    <t>https://karakoyelektronik.com/0805-smd-direnc/150k-0805-80481?srsltid=AfmBOoqumWp-NSkq7qFSCvydAe1Bt--jWuwQzLh_SmN1jv8az1Q6hLMA</t>
  </si>
  <si>
    <t>150K 0805</t>
  </si>
  <si>
    <t>https://karakoyelektronik.com/transistor/bcx53-16-80809?srsltid=AfmBOoroQyFDEGKY2pzjBfNm1P7az0d31h8NR4TWNZeC9-5psAiSWs2l</t>
  </si>
  <si>
    <t>BCX53-16 (AL), SOT-89 SMD Transistör</t>
  </si>
  <si>
    <t>https://www.ulutaselektronik.com/urun/bcx56-16-sot-89-1a-80v-1w-npn-transistor?srsltid=AfmBOor-gYjA2R6vmjt9uAjwGanh5bN0bODB3H_ckeXVrMYMdRy-u1ic</t>
  </si>
  <si>
    <t>BCX56-16 - (BL) SOT-89 1A 80V 1W NPN TRANSISTOR</t>
  </si>
  <si>
    <t>https://www.direnc.net/bc857c-pnp-smd-transistor-sot-23</t>
  </si>
  <si>
    <t>BC857C Pnp Smd Transistör Sot-23</t>
  </si>
  <si>
    <t>https://www.motorobit.com/350vac-560vdc-10mm-varistor-10d561k?gad_source=1&amp;gad_campaignid=23220066671&amp;gbraid=0AAAAADCrc1K7QbcRESq-cfcybNxusK2c-&amp;gclid=Cj0KCQjw-pHPBhCdARIsAHXYWP8A8T-YEfCmfz9wt4qcl8Srvy76j1sdvGqvj0nedX0qbP9I6QXAzVcaAjtnEALw_wcB</t>
  </si>
  <si>
    <t>350VAC - 560VDC 10mm Varistör 10D561K</t>
  </si>
  <si>
    <t>https://www.altanelektronik.net/urun/100uf-400v-teapo-marka-105c-radial-18x32-5</t>
  </si>
  <si>
    <t>100uF 400V 105C Radial 18X32,5 Elektrolitik Kondansatör</t>
  </si>
  <si>
    <t>https://www.ulutaselektronik.com/urun/murs120t3g-u1d-smb-2-1a-200v-ultrafast-rectifier-diode?srsltid=AfmBOornI-X8y3IPcuo7by5vGMANQaWwFxXEO8sHzneEPhSIcCYrk4ev</t>
  </si>
  <si>
    <t>MURS120T3G - (U1D) SMB-2 1A 200V ULTRAFAST RECTIFIER DIODE</t>
  </si>
  <si>
    <t>https://www.ulutaselektronik.com/urun/0-22r-1-2w-karbon-film-direnc?srsltid=AfmBOoq4z1cKo3U8kruZkcr-ypweQxQoHVQVhPcXhwvcXdfAcSIoUU9Y</t>
  </si>
  <si>
    <t>0.22R 2W 0R22 Karbon Film Direnç</t>
  </si>
  <si>
    <t>https://karakoyelektronik.com/polyester/cbb22-105j450v-85212?srsltid=AfmBOop_h4uAScLaW2BWCiDCF4SzZyyqxz3FfnFJWXMIyf4NkdYWOHBB</t>
  </si>
  <si>
    <t>CBB22-105J450V, 1uF 15mm 450V Metalize Film Kapasitör</t>
  </si>
  <si>
    <t>https://www.ulutaselektronik.com/urun/er3j-smc-do-214ab-smc-3a-600v-fast-recovery-diode?srsltid=AfmBOopfgVfu0YZ5_uwwY2kEmyl5sN2qegVQ_TycwnzWOHsz8U0O39yN</t>
  </si>
  <si>
    <t>ER3J SMC DO-214AB (SMC) 3A 600V FAST RECOVERY DIODE</t>
  </si>
  <si>
    <t>https://www.ulutaselektronik.com/urun/10-adet-10r-1-2w-metal-film-direnc?srsltid=AfmBOoqg1fL_nLTninYkIDZjSLyqofWLz21yY2KsJrrrSKuhSfPjkOIX</t>
  </si>
  <si>
    <t>10 ADET - 10R 1/2W Metal Film Direnç</t>
  </si>
  <si>
    <t>https://www.direnc.net/100uf-100v-kondansator-10x17mm</t>
  </si>
  <si>
    <t>100uF 100V Kondansatör 10x17mm</t>
  </si>
  <si>
    <t>https://www.ozdisan.com/p/pin-headerlar-293/kls-electronic-l-kls1-207-1-02-s-464873</t>
  </si>
  <si>
    <t>PIN HEADER 2PIN(1x2) 2.54mm THT V/T</t>
  </si>
  <si>
    <t>https://www.ozdisan.com/p/ferrit-cekirdekler-440/cosmo-cf197t4218ac-442284</t>
  </si>
  <si>
    <t>FERRIT RING AL=11700 COSMO</t>
  </si>
  <si>
    <t>https://www.ozdisan.com/p/ferrit-cekirdekler-440/cosmo-cf139t4016c-632641</t>
  </si>
  <si>
    <t>FERRITE TOROID 3400nH NO AIRGAP GREEN COATED</t>
  </si>
  <si>
    <t>https://www.ozdisan.com/p/ferrit-cekirdekler-440/cosmo-cf139t4218ac-632644</t>
  </si>
  <si>
    <t>FERRITE TOROID 3500nH NO AIRGAP GREEN COATED</t>
  </si>
  <si>
    <t>https://www.direnc.net/10-pin-yatay-karkas-ee25</t>
  </si>
  <si>
    <t>10 Pin Yatay Karkas - EE25</t>
  </si>
  <si>
    <t>https://www.ersinelektronik.com/urun/0r01-5w-5</t>
  </si>
  <si>
    <t>0.01R (0R01) 5W %5 Taş Direnç</t>
  </si>
  <si>
    <t>https://www.direnc.net/10-pin-yatay-karkas-ei30</t>
  </si>
  <si>
    <t>10 Pin Yatay Karkas - EI30</t>
  </si>
  <si>
    <t>https://www.ozdisan.com/p/karkaslar-439/durga-pq3230ver-344752</t>
  </si>
  <si>
    <t>ACCESSORY CARCASS 12PIN VERTİCAL DURGA</t>
  </si>
  <si>
    <t>https://www.ozdisan.com/p/karkaslar-439/oem-ee1905-6-carcass-635609</t>
  </si>
  <si>
    <t>ACCESSORY CARCASS 6PIN HORIZONTAL</t>
  </si>
  <si>
    <t>https://www.ozdisan.com/p/karkaslar-439/durga-ee2506hor-344756</t>
  </si>
  <si>
    <t>ACCESSORY CARCASS 10PIN HORİZONTAL DURGA</t>
  </si>
  <si>
    <t>ALKAYAELEKTRONİK</t>
  </si>
  <si>
    <t>https://www.ozdisan.com/p/pin-headerlar-293/molex-molex-0901200125-1210994?categoryName=pin-headerlar-293&amp;productSlug=molex-molex-0901200125-1210994</t>
  </si>
  <si>
    <t>ALTANELEKTRONİK</t>
  </si>
  <si>
    <t>ERSİNELEKTRONİK</t>
  </si>
  <si>
    <t>https://www.robotistan.com/12mhz-smd-kristal-hc49smd</t>
  </si>
  <si>
    <t>12MHz SMD Kristal - HC49SMD</t>
  </si>
  <si>
    <t>ELİBÜYÜKOTO</t>
  </si>
  <si>
    <t>https://www.elibuyukoto.com/products/audi-a3-seat-cordoba-ibiza-leon-toledo-octavia-volkswagen-bora-golf-jetta-polo-kilometre-sensoru-1h0919149a?variant=42968286986333&amp;country=TR&amp;currency=TRY&amp;utm_medium=product_sync&amp;utm_source=google&amp;utm_content=sag_organic&amp;utm_campaign=sag_organic&amp;srsltid=AfmBOor3SAx0I_bJLdhhDO1kTx7UqLWGTJ06ciXmIUyHC8m6D-uObhTPWHM</t>
  </si>
  <si>
    <t>Kilometre Sensörü</t>
  </si>
  <si>
    <t>Araç içi bağlantılarda kullanılacaktır.</t>
  </si>
  <si>
    <t>Sıcaklık ölçmek için kullanılacaktır.</t>
  </si>
  <si>
    <t>Hız ve kilometre ölçmek için kullanılacaktır.</t>
  </si>
  <si>
    <t>Araç içi tesisatta kullanılacaktır.</t>
  </si>
  <si>
    <t>Veri kaydı için kullanılacaktır.</t>
  </si>
  <si>
    <t>SD kart için kullanılacaktır.</t>
  </si>
  <si>
    <t>Araç içi haberleşme için kullanılacaktır.</t>
  </si>
  <si>
    <t>GPS verisi için kullanılcaktır.</t>
  </si>
  <si>
    <t>Pil şarjı için kullanılacaktır.</t>
  </si>
  <si>
    <t>Gerilim kontrol etmek için kullanılacaktır.</t>
  </si>
  <si>
    <t>Sabit voltaj çıkışı için kullanılacaktır.</t>
  </si>
  <si>
    <t>Anahtarlama için kullanılacaktır.</t>
  </si>
  <si>
    <t>Sürücü için kullanılacaktır.</t>
  </si>
  <si>
    <t>Aks için kullanılacaktır.</t>
  </si>
  <si>
    <t>RES. 0805 100K Ohms 5% 1/8W 100PPM SMT</t>
  </si>
  <si>
    <t>RES. 0805 120 Ohms 1% 1/8W</t>
  </si>
  <si>
    <t>RES. 0805 10 Ohms 5% 1/8W 100PPM SMT</t>
  </si>
  <si>
    <t>RES. 0805 10K Ohms 5% 1/8W 100PPM SMT</t>
  </si>
  <si>
    <t>RES. 0805 39 Ohms 1% 1/8W AUTOMOTIV</t>
  </si>
  <si>
    <t>RES. 0805 15 Ohms 5% 1/8W-S 200PPM</t>
  </si>
  <si>
    <t>RES. 0805 22K Ohms 5% 1/8W 100PPM SMT</t>
  </si>
  <si>
    <t>RES. 2512 10 Ohms 10% 2W 400PPM</t>
  </si>
  <si>
    <t>RES. 0805 47K Ohms 5% 1/8W 100PPM SMT</t>
  </si>
  <si>
    <t>RES. 0805 2.2K Ohms 5% 1/8W-S 100PPM</t>
  </si>
  <si>
    <t>RES. 0805 100 Ohms 5% 1/8W 100PPM SMT</t>
  </si>
  <si>
    <t>RES. 0805 3K Ohms 5% 1/8W-S 100PPM</t>
  </si>
  <si>
    <t>RES. 0805 4.99K Ohms 1% 1/8W-S 100PPM</t>
  </si>
  <si>
    <t>RES. 0805 1K Ohms 5% 1/8W 100PPM SMT</t>
  </si>
  <si>
    <t>RES. 0805 4.7K Ohms 5% 1/8W 100PPM SMT</t>
  </si>
  <si>
    <t>MLCC 0805 100nF 50VDC ±10% X7R AUTOMOTIVE</t>
  </si>
  <si>
    <t>MLCC 0805 1uF 16VDC ±10% X7R</t>
  </si>
  <si>
    <t>MLCC 0805 10uF 10VDC ±10% X7R</t>
  </si>
  <si>
    <t>RES. 1206 10 Ohms 1% 1/4W-S 400PPM</t>
  </si>
  <si>
    <t>16 MHz Kristal</t>
  </si>
  <si>
    <t>https://www.robotistan.com/16-mhz-kristal</t>
  </si>
  <si>
    <t>12MHz Kristal</t>
  </si>
  <si>
    <t>https://www.robotistan.com/12-mhz-kristal</t>
  </si>
  <si>
    <t>TOPLAM TUTAR</t>
  </si>
  <si>
    <t>https://www.robocombo.com/Mikro-SD-Kart-Modulu,PR-1191.html?srsltid=AfmBOooGcn7IyCuXmgE3x_B9s4vKR-9UMduFzWXiVz_WjHAUIqPQYou7Mgc</t>
  </si>
  <si>
    <t>TOPLAM GENEL TUTAR</t>
  </si>
  <si>
    <t>ELEKTRİK AVANS</t>
  </si>
  <si>
    <t>TOPLAM BÜTÇE</t>
  </si>
  <si>
    <t>MAKİNE AVANS</t>
  </si>
  <si>
    <t>https://www.ozdisan.com/p/schottky-diyotlar-385/m-c-c-sr3010-tp-1070583</t>
  </si>
  <si>
    <t>DIODE SCHOTTKY 3A 100V DO201AD</t>
  </si>
  <si>
    <t>https://www.robotistan.com/60v-programlanabilir-dc-guc-kaynagi?language=tr&amp;h=640bf292</t>
  </si>
  <si>
    <t>https://www.ozdisan.com/p/smt-smd-ve-mlcc-kapasitorler-184/samsung-cl21b202kbannnc-522845</t>
  </si>
  <si>
    <t>Micro SD Kart Okuyucu Modül</t>
  </si>
  <si>
    <t>https://shop.fixaj.com/lora-parametre-ayarlari-icin-usb-stick-usb-uart-cp2102-e15-usb-t2?srsltid=AfmBOoq1FXPT-vDM1k46hE5kzsO_I8ddgTQPZ2jw1nSDkjESpz1_f5s6</t>
  </si>
  <si>
    <t>USB UART Stick</t>
  </si>
  <si>
    <t>Lora parametre ayarları için kullanılacaktır.</t>
  </si>
  <si>
    <t>FİXAJ.COM</t>
  </si>
  <si>
    <t>https://www.robotistan.com/24-inch-nextion-hmi-dokunmatik-tft-lcd-ekran-8-port-gpio-16mb-dahili-hafiza</t>
  </si>
  <si>
    <t>Nextion Ekran</t>
  </si>
  <si>
    <t>Orta konsolda kullanılacaktır.</t>
  </si>
  <si>
    <t>https://www.robotistan.com/kurtel-kulce-lehim-multipure-vacuum-bar-63-37?language=tr&amp;h=0e3159de</t>
  </si>
  <si>
    <t>Külçe Lehim</t>
  </si>
  <si>
    <t>Lehim potası için kullanılacaktır.</t>
  </si>
  <si>
    <t>TTL-RS485 Dönüştürücü</t>
  </si>
  <si>
    <t>https://www.robotistan.com/ttl-rs485-seri-donusturucu-karti-max485</t>
  </si>
  <si>
    <t>Veri iletimi için kullanılacaktır.</t>
  </si>
  <si>
    <t>https://www.motorobit.com/ds3231-hassas-rtc-ve-24c32-hafiza-modulu?gad_source=1&amp;gad_campaignid=23220066671&amp;gclid=CjwKCAjwhqfPBhBWEiwAZo196jkvQZ02kCfpzY9isRae2CzaOKEdbd8kWjiUPFj4y0R3lrg1-pfV4hoCCB4QAvD_BwE</t>
  </si>
  <si>
    <t>DS3231 Hassas RTC Modülü</t>
  </si>
  <si>
    <t>Telsiz</t>
  </si>
  <si>
    <t>Saat bilgisi için kullanılacaktır.</t>
  </si>
  <si>
    <t>https://www.hepsiburada.com/motorola-t82-extreme-ikili-pmr-telsiz-kulaklik-resmi-ithalatci-garantili-ve-firmamiz-servis-garantili-pm-HBC00002TTCD4</t>
  </si>
  <si>
    <t>Geçen sene alınan telsizler hasarlı geldi.</t>
  </si>
  <si>
    <t>SIM800L GSM/GPRS Modülü</t>
  </si>
  <si>
    <t>https://www.komponentci.net/sim800l-mini-gsm-gprs-modulu-imei-kayitli-pmu3435</t>
  </si>
  <si>
    <t>https://www.robo90.com/neo-m8n-arduino-shield-mini-gps-modul?utm_medium=pm&amp;utm_source=google&amp;gad_source=4&amp;gad_campaignid=17335602156&amp;gclid=CjwKCAjwhqfPBhBWEiwAZo196pCsNo49Blw8OLIaHjcKY6ldeH5Pjg6u7O7zJUs2DN7G92wyAwGOWRoCXAkQAvD_BwE</t>
  </si>
  <si>
    <t>Neo-M8N GPS Modülü</t>
  </si>
  <si>
    <t>ROBO90</t>
  </si>
  <si>
    <t>ABS Filament</t>
  </si>
  <si>
    <t>https://www.hepsiburada.com/porima-abs-filament-1-75mm-siyah-ral9005-1kg-pm-HBC000037VTKR</t>
  </si>
  <si>
    <t>Batarya hücrelerinin kapaklarını basmak için kullanılacaktır.</t>
  </si>
  <si>
    <t>https://www.ozdisan.com/p/ntc-termistorler-852/lmem-lm03g-103f-36468</t>
  </si>
  <si>
    <t>https://www.motorobit.com/1k-100w-aluminyum-direnc?srsltid=AfmBOopuMw_HS_NUsZIevmANVHEhUcGMZ19KZShkPNWkFjtfYc1h8dn0tb4</t>
  </si>
  <si>
    <t>1K 100W Alüminyum Direnç</t>
  </si>
  <si>
    <t>Araca yeni eklencek olan preşarj devresi için kullanılacaktır.</t>
  </si>
  <si>
    <t>5V 10A Röle 5 Pin</t>
  </si>
  <si>
    <t>https://www.motorobit.com/5v-10a-role-5-pin?gad_source=4&amp;gad_campaignid=22129721965&amp;gbraid=0AAAAADCrc1Jos4SwZ1P1Frwy46IdWb44H&amp;gclid=CjwKCAjwzLHPBhBTEiwABaLsSneKdI86qNOc5be0uKwfyglry0S3M7ndGhsEiJeApTguyfWNSSwqDhoCisgQAvD_BwE</t>
  </si>
  <si>
    <t>12V Röle 5 Pin</t>
  </si>
  <si>
    <t>https://www.robo90.com/12v-role-5-pin-250vac-10a?srsltid=AfmBOoorukQYbEnLa2eNkOQQ4WYclhdO1Si4m4DCbGF_cj7tY5qJSPtvUBM</t>
  </si>
  <si>
    <t>12V 30A Röle 5 Pin</t>
  </si>
  <si>
    <t>https://www.motorobit.com/12v-30a-role-5-pin?srsltid=AfmBOor5L60ookJ6_90b4BCsA3iNy5lFN3-0TjzEWsLzC3lB6gO75VJtuxc</t>
  </si>
  <si>
    <t>12V 60x60x25mm Fan</t>
  </si>
  <si>
    <t>https://www.robotistan.com/60x60x25mm-fan-12v-0?language=tr&amp;h=0bb3c1ce</t>
  </si>
  <si>
    <t>12V 40x40mm Peltier</t>
  </si>
  <si>
    <t>https://www.robotistan.com/tec1-12706</t>
  </si>
  <si>
    <t>Termal Macun</t>
  </si>
  <si>
    <t>https://www.hepsiburada.com/arctic-mx-4-termal-macun-4-gr-actcp00002b-pm-HB00000KBT84</t>
  </si>
  <si>
    <t>Motor sürücüsünü soğutmak için kullanılacaktır.</t>
  </si>
  <si>
    <t>https://www.hepsiburada.com/580-parca-elektrik-kablo-konnektor-terminal-seti-2-3-4-6-9-pin-erkek-disi-2-8mm-otomotiv-bisiklet-ba-pm-HBC0000BMNV8P</t>
  </si>
  <si>
    <t>Kablo Konnektör Terminal Seti</t>
  </si>
  <si>
    <t>https://www.hepsiburada.com/isuzu-stop-musur-soketi-kablolu-disi-6-fis-pm-HBC00006ECQ6H?magaza=YalazOtomotiv</t>
  </si>
  <si>
    <t>6 Pin Dişi Konnektör</t>
  </si>
  <si>
    <t>6 Pin Erkek Konnektör</t>
  </si>
  <si>
    <t>https://www.hepsiburada.com/isuzu-stop-musur-soketi-erkek-6-fis-pm-HBC00006ECR1N?magaza=YalazOtomotiv</t>
  </si>
  <si>
    <t>https://www.hepsiburada.com/9-pin-araba-soketi-p-HBCV0000681SC7?magaza=AYTTicarettt</t>
  </si>
  <si>
    <t>https://www.soketsan.com.tr/furukawa-is-makine-soketi-beyaz-disi-8-pin-kablolu-3818029-K</t>
  </si>
  <si>
    <t>9 Pin Oto Soket</t>
  </si>
  <si>
    <t>8 Pin Oto Soket Dişi</t>
  </si>
  <si>
    <t>https://www.soketsan.com.tr/furukawa-is-makine-soketi-beyaz-8-pin-kablolu-3818028-K?srsltid=AfmBOooR1QKhZxFLY2b91xzoZLRebsTiwAUYM3mg45NRjycld92diaefT6A</t>
  </si>
  <si>
    <t>8 Pin Oto Soket Erkek</t>
  </si>
  <si>
    <t>Motor sürücü bağlantılarında kullanılacaktır.</t>
  </si>
  <si>
    <t>SOKETSAN</t>
  </si>
  <si>
    <t>USB to Type-C</t>
  </si>
  <si>
    <t>Girişleri dönüştürmek için kullanılacaktır.</t>
  </si>
  <si>
    <t>USB-RS232 Dönüştürücü</t>
  </si>
  <si>
    <t>https://www.trendyol.com/baseus/type-c-to-usb-3-1-donusturucu-adaptor-mini-otg-ingenuity-series-zjjq000001-p-262526021</t>
  </si>
  <si>
    <t>https://www.direnc.net/usb-rs232-cevirici-kablo--9pin-erkek</t>
  </si>
  <si>
    <t>https://www.komponentci.net/100-parca-5x20mm-cam-sigorta-tup-sigorta-seti-plastik-kutulu-pmu6525</t>
  </si>
  <si>
    <t>Cam Sigorta Seti</t>
  </si>
  <si>
    <t>Kablolu Sigorta Yuvası</t>
  </si>
  <si>
    <t>https://www.motorobit.com/5x20-kablolu-sigorta-yuvasi-siyah?srsltid=AfmBOop04cr5nov-5y8atsF4NpwFLoBg2mkPpHaWn8Zqkzf5GF0zfmRW</t>
  </si>
  <si>
    <t>2.54mm Header Erkek</t>
  </si>
  <si>
    <t>2.54mm Header Dişi</t>
  </si>
  <si>
    <t>https://www.direnc.net/1x40-uzun-bacakli-disi-header</t>
  </si>
  <si>
    <t>https://www.direnc.net/1x40-12mm-erkek-header-1</t>
  </si>
  <si>
    <t>https://www.motorobit.com/2x40-male-header-80-pin-180-degree?srsltid=AfmBOopk6U_4xdM2Qwn9AxWNksGOBE8F6e1yS_vZxX9NRr6XghPLwJYV</t>
  </si>
  <si>
    <t>2.54mm Header Çift Sıra Erkek</t>
  </si>
  <si>
    <t>2.54mm Header Çift Sıra Dişi</t>
  </si>
  <si>
    <t>https://www.ersinelektronik.com/urun/2x40-180deg-12mm-disi-pin-header-2-54mm</t>
  </si>
  <si>
    <t>PCB'lerde kullanılacaktır.</t>
  </si>
  <si>
    <t>Cam sigorta takmak için kullanılacaktır.</t>
  </si>
  <si>
    <t>Araçtaki parçaları güvenceye almak için kullanılacaktır.</t>
  </si>
  <si>
    <t>Anahtarlama ve kontrol etmede kullanılacaktır.</t>
  </si>
  <si>
    <t>https://www.direnc.net/mp1584en-3a-dc-dc-mini-voltaj-dusurucu-modul</t>
  </si>
  <si>
    <t>MP1584EN DC DC Mini Voltaj Düşürücü</t>
  </si>
  <si>
    <t>Voltaj düşürmek için kullanılacaktır.</t>
  </si>
  <si>
    <t>LM2896 Ayarlanabilir Voltaj Düşürücü Güç Modülü</t>
  </si>
  <si>
    <t>https://www.direnc.net/lm2596-power-suplay-modul-1?utm_source=google&amp;utm_medium=cpc&amp;utm_campaign=0100-pmax-alfa&amp;gad_source=1&amp;gad_campaignid=22157331511&amp;gclid=CjwKCAjwtcHPBhADEiwAWo3sJmjtdPXztGp05hakX_oyZMYbfNclg0Fd2kGKKhNZxFpP8Un8JHZFZRoC424QAvD_BwE</t>
  </si>
  <si>
    <t>Voltaj kontrol etmek için kullanılacaktır.</t>
  </si>
  <si>
    <t>https://www.ozdisan.com/p/smt-smd-ve-mlcc-kapasitorler-184/samsung-cl21c220jbannnc-5638</t>
  </si>
  <si>
    <t>MLCC 0805 22pF 50VDC ±5% C0G (NP0)</t>
  </si>
  <si>
    <t>https://www.ozdisan.com/p/smt-smd-ve-mlcc-kapasitorler-184/yageo-cc0805kkx7r9bb105-750129</t>
  </si>
  <si>
    <t>MLCC (2012) 0805 1uF 50VDC ±10% X7R</t>
  </si>
  <si>
    <t>TL432-ADJ, SOT-23 SMD Entegre Devre</t>
  </si>
  <si>
    <t>https://karakoyelektronik.com/voltage-reference-entegreleri/tl432-adj-21570?srsltid=AfmBOop-7TpGHH-JxSw-FaHZyNXv6sAGeSbtFdOVy2-L-D7-d4Z3zkUG</t>
  </si>
  <si>
    <t>https://www.ozdisan.com/p/sinyal-ledler-tek-renkli-361/honglitronic-hl-psc-2012h203bc-471652</t>
  </si>
  <si>
    <t>LED SMD 0805 BLUE 160-210mcd 120° WATER CLEAR</t>
  </si>
  <si>
    <t>https://www.ozdisan.com/p/sinyal-ledler-tek-renkli-361/honglitronic-hl-psc-2012s9ac-471650</t>
  </si>
  <si>
    <t>LED SMD 0805 RED 110mcd 120° WATER CLEAR</t>
  </si>
  <si>
    <t>https://karakoyelektronik.com/tvs-diyot/smbj6-8a-94034?srsltid=AfmBOorNnoxyw_wSI2dCpBe9C7h5Tv0cWiiBuWL0Pj_WgJvGzIPCWnwK</t>
  </si>
  <si>
    <t>SMBJ6.8A, 6.8V 600W DO-214AA (SMB) Tek Yönlü TVS Diyot</t>
  </si>
  <si>
    <t>https://www.motorobit.com/jst-ph-20-2-pin-konnektor-seti?srsltid=AfmBOoqDOlcg7TVamAtoa7Jf8xGAPuAPUs4V1LMhFqiS8bN8XbiDXiRM</t>
  </si>
  <si>
    <t>JST-PH 2.0 2 Pin Konnektör Seti</t>
  </si>
  <si>
    <t>https://www.ozdisan.com/p/ptc-sigortalar-845/thinking-kmc5s150ry24-645212</t>
  </si>
  <si>
    <t>THERMISTOR PTC RESETTABLE FUSE 1812 1.5A 24V</t>
  </si>
  <si>
    <t>https://www.komponentci.net/erkek-pin-header-2x3-pin-6pin-12-mm-254mm-2x3-180-iki-sira-pmu8357</t>
  </si>
  <si>
    <t>https://www.direnc.net/850mm-2x3-erkek-pin-header-254mm-90-derece</t>
  </si>
  <si>
    <t>8.50mm 2x3 Erkek Pin Header - 2.54mm - 90 Derece</t>
  </si>
  <si>
    <t>https://karakoyelektronik.com/transistor/ao3400-78701?srsltid=AfmBOooQCw_rWG03a4dsM44JvK5qI6FmKjgmuISl26Yc2QBO3YQkQK-Q</t>
  </si>
  <si>
    <t>AO3400, A09T, 30V 5.8A SOT-23 SMD Mosfet Transistör</t>
  </si>
  <si>
    <t>https://www.ozdisan.com/p/smt-smd-ve-cip-direncler-194/royalohm-as1034k033jt4e-516540</t>
  </si>
  <si>
    <t>https://www.ozdisan.com/p/smt-smd-ve-cip-direncler-194/royalohm-hp05w3f2200t5e-604197</t>
  </si>
  <si>
    <t>RES. 2010 3.3 Ohms 10% 3/4W 400PPM</t>
  </si>
  <si>
    <t>RES. 0805 220 Ohms 1% 1/3W</t>
  </si>
  <si>
    <t>https://www.ozdisan.com/p/smt-smd-ve-cip-direncler-194/royalohm-tc0525b5100t5g-571166</t>
  </si>
  <si>
    <t>RES. 0805 510 Ohms 0.1% 1/8W 25PPM</t>
  </si>
  <si>
    <t>https://www.ozdisan.com/p/smt-smd-ve-cip-direncler-194/viking-crt05f7e2701-1054399</t>
  </si>
  <si>
    <t>RES. 0805 2.7K Ohms 1% 1/8W-S 100PPM</t>
  </si>
  <si>
    <t>https://www.ozdisan.com/p/smt-smd-ve-cip-direncler-194/yageo-rc0805jr-076k8l-837288</t>
  </si>
  <si>
    <t>RES. 0805 6.8K Ohms 5% 1/8W 100PPM SMT</t>
  </si>
  <si>
    <t>https://www.direnc.net/tsm2a103f3951-ntc-termistor-smd-0805-10k-1</t>
  </si>
  <si>
    <t>NTC Termistör SMD 0805 10K %1</t>
  </si>
  <si>
    <t>https://www.ozdisan.com/p/transistor-ve-fotovoltaik-cikisli-optokuplorler-189/liteon-ltv-217-b-g-471315</t>
  </si>
  <si>
    <t>IC-217 OPTOISO 3.7KV SSOP4</t>
  </si>
  <si>
    <t>https://www.motorobit.com/8000-mhz-smd-kristal-5032-2p?srsltid=AfmBOopEdUlWoMMORytBllmCuknDcJ6UoFpfOtbxMB2AeDSzAveoonWN</t>
  </si>
  <si>
    <t>8.000 MHz SMD Kristal 5032-2P</t>
  </si>
  <si>
    <t>https://tr.farnell.com/microchip/attiny841-ssu/mcu-attiny-8kb-16mhz-soic-14/dp/2396716?srsltid=AfmBOor9e7eHQdY8Qcug0KLQ0O6oaDTVvm0u3vZpymH9Gt2wfG0G_ek5</t>
  </si>
  <si>
    <t>ATTINY841-SSU</t>
  </si>
  <si>
    <t>https://www.ozdisan.com/p/smt-smd-ve-mlcc-kapasitorler-184/yageo-ac0805kkx7r0bb104-750474</t>
  </si>
  <si>
    <t>MLCC 0805 100nF 100VDC ±10% X7R AUTOMOTIVE</t>
  </si>
  <si>
    <t>MLCC 0805 1uF 50VDC ±10% X7R</t>
  </si>
  <si>
    <t>https://arkotekelektronik.com/ina229aidgsr-vssop10?srsltid=AfmBOooMEs9p0rPpPCx3CxbOlLMaDN8pKzUPZi4EhERaJsfQcGqp_oM-</t>
  </si>
  <si>
    <t>INA229AIDGSR VSSOP10</t>
  </si>
  <si>
    <t>https://www.ulutaselektronik.com/urun/ds1023-1x7s21-7pin-1x7-2-54mm-disi-tht-v-t-tray-pin-header?srsltid=AfmBOopkri43TfvsHTwrX_phcLAdSl-vNE3owh7cE8S20L9hccA5YTJJ</t>
  </si>
  <si>
    <t>1X7 2.54MM DİŞİ THT V/T TRAY PIN HEADER</t>
  </si>
  <si>
    <t>https://www.direnc.net/1x4-disi-header</t>
  </si>
  <si>
    <t>1x4 2.54mm Dişi Header</t>
  </si>
  <si>
    <t>BMS akım kontrol için kullanılacaktır.</t>
  </si>
  <si>
    <t>https://www.ozdisan.com/p/smt-smd-ve-mlcc-kapasitorler-184/samsung-cl21b104kcfwpne-522793</t>
  </si>
  <si>
    <t>https://www.ersinelektronik.com/urun/22uf-6-3v-tantal-kondansator-smd-a</t>
  </si>
  <si>
    <t>22uF 6.3V Tantal Kondansatör SMD (A)</t>
  </si>
  <si>
    <t>https://www.ozdisan.com/p/smt-smd-ve-mlcc-kapasitorler-184/kingtronics-lkt1206x226m350r-610126</t>
  </si>
  <si>
    <t>MLCC  0805 100nF 100VDC ±10% X7R AUTOMOTIVE</t>
  </si>
  <si>
    <t>MLCC 1206 22UF 35VDC ±20% X5R</t>
  </si>
  <si>
    <t>https://www.ozdisan.com/p/aydinlatma-ledleri-cok-renkli-366/honglitronic-hlaf5060h248bs36fu76gcs1-437264</t>
  </si>
  <si>
    <t>LED SMD 5050 RGB R:250mcd G:1300mcd B:350mcd@20mA</t>
  </si>
  <si>
    <t>https://www.ozdisan.com/p/genel-amacli-diyotlar-389/panjit-ll4148-r2-10001-347242</t>
  </si>
  <si>
    <t>DIODE FAST SWITCHING Single 150mA 100V SOD80 M.MEL</t>
  </si>
  <si>
    <t>https://www.ozdisan.com/p/sinyal-ledler-tek-renkli-361/liteon-ltst-c191kskt-502201</t>
  </si>
  <si>
    <t>LED SMD 0603 YELLOW 28-180mcd 130° WATER CLEAR</t>
  </si>
  <si>
    <t>https://www.ozdisan.com/p/tvs-diyotlar-386/diodes-dup2105soq-7-1042031</t>
  </si>
  <si>
    <t>TVS DIODE 24V 44V SOT-23-3</t>
  </si>
  <si>
    <t>https://www.ozdisan.com/p/ptc-sigortalar-845/fuzetec-fsmd185-2920-r-462089</t>
  </si>
  <si>
    <t>THERMISTOR PTC RESETTABLE FUSE 2920 1.85A 33V</t>
  </si>
  <si>
    <t>https://www.e-komponent.com/0472192001-molex-card-connector-secure-digital-microsd?srsltid=AfmBOooyjXwP5m2hPN50qfNppZfurf-bS9ucqKgNmXhlrMkBSerQqFEP</t>
  </si>
  <si>
    <t>SD Kart Yuvası</t>
  </si>
  <si>
    <t>https://www.e-komponent.com/ao3400a-alpha-omega-semiconductor-transistor-fet-mosfet-tekli?srsltid=AfmBOopRsFnLQGaeplFhsRgsihQLk_Be8Zda6dofZcfvgjHTyXbDcTrk</t>
  </si>
  <si>
    <t>AO3400A Mosfet</t>
  </si>
  <si>
    <t>https://www.e-komponent.com/ao3401a-alpha-omega-semiconductor-transistor-fet-mosfet-tekli?srsltid=AfmBOopjEiool37CN9g57SmyudOS3qFgm40ABiNnKV1QIbo2ln23ft3q</t>
  </si>
  <si>
    <t>AO3401A</t>
  </si>
  <si>
    <t>https://www.ozdisan.com/p/smt-smd-ve-cip-direncler-194/yageo-ac0805jr-07220rl-708283</t>
  </si>
  <si>
    <t>RES. 0805 220 Ohms 5% 1/8W 100PPM AEC-Q200 S</t>
  </si>
  <si>
    <t>https://www.ozdisan.com/p/smt-smd-ve-cip-direncler-194/royalohm-0805s8j0181t5e-335052</t>
  </si>
  <si>
    <t>RES. 0805 180 Ohms 5% 1/8W-S 100PPM</t>
  </si>
  <si>
    <t>https://www.ozdisan.com/p/smt-smd-ve-cip-direncler-194/yageo-rc0805jr-07560rl-837273</t>
  </si>
  <si>
    <t>RES. 0805 560 Ohms 5% 1/8W 100PPM SMT</t>
  </si>
  <si>
    <t>https://karakoyelektronik.com/0805-smd-direnc/1m0-0805-80498?srsltid=AfmBOoq2TbOGuF9ZuRvYPCOkBm6Wd8Yi7z0_08MSchrXhwUMbPIg8SA1</t>
  </si>
  <si>
    <t>1M Ohm 0805 %5 SMD Direnç</t>
  </si>
  <si>
    <t>https://www.e-komponent.com/voltage-level-translator-bidirectional-txs0102dcur?srsltid=AfmBOooGa_QZdq_VOketCQ_3Dtw4ebHYYABKHyX3YHO4IytuEqPOmRUX</t>
  </si>
  <si>
    <t>TXS0102DCUR Logic Level Translator</t>
  </si>
  <si>
    <t>https://tr.farnell.com/texas-instruments/tca6416apwr/ic-i-o-expander-16bit-24tssop/dp/3009444</t>
  </si>
  <si>
    <t>TCA6416APWR</t>
  </si>
  <si>
    <t>https://www.ozdisan.com/p/driver-receiver-ve-transceiver-entegreleri-229/texas-sn65hvd75dr-484175?https://www.ozdisan.com/?utm_source=google&amp;utm_medium=cpc&amp;utm_campaign=creamake+_pmax_tr&amp;utm_id=pmax-tr&amp;utm_term=%7Bkeyword%7D&amp;utm_content=%7Bcreative%7D&amp;gad_source=1&amp;gad_campaignid=23585524288&amp;gclid=CjwKCAjwtcHPBhADEiwAWo3sJn17ycMH8zdQNEfI9D0XK1gBB57r8lk1nAhjV5Q1-gaCs9RHR3VlHxoC2DUQAvD_BwE</t>
  </si>
  <si>
    <t>IC-65HVD75D TXRX RS485 3.3V LP SOIC8</t>
  </si>
  <si>
    <t>https://www.robotistan.com/ams1117-33-sot23</t>
  </si>
  <si>
    <t>AMS1117 3.3V Lineer Voltaj Regülatörü – SOT223</t>
  </si>
  <si>
    <t>https://www.ulutaselektronik.com/urun/sn65hvd1050dr-vp1050-soic-8-can-interface-ic?srsltid=AfmBOooiWuOzbNybWfI1RdyCFyvZK7hUTCvtyo0y775cO4WEccp2SWlr</t>
  </si>
  <si>
    <t>SN65HVD1050DR - (VP1050) SOIC-8 CAN INTERFACE IC</t>
  </si>
  <si>
    <t>https://www.ozdisan.com/p/akim-yonetimi-entegreleri-273/texas-ina229aidgsr-1050886?srsltid=AfmBOoqcgNIHgM6QqtpI8Yp0po7AmMOB2cHjRDTTVADSZi8dDXfd_VQR</t>
  </si>
  <si>
    <t>IC-229 CURR SENSE 1 CIRCUIT 10VSSOP</t>
  </si>
  <si>
    <t>https://karakoyelektronik.com/role/aqy282sx-91607?srsltid=AfmBOorYwP9Zdw9CVw2aHM7ApBz9aK14ce5hcsoheykBvzFSbZGBpmOo</t>
  </si>
  <si>
    <t>AQY282SX, 0-60V 500mA SPST (1 Form A) SOP-4 Solid State Röle</t>
  </si>
  <si>
    <t>https://www.komponentci.net/2-pin-jst-ph-20-tunik-konnektor-erkek-90-pmu57061</t>
  </si>
  <si>
    <t>2 Pin JST-PH 2.0 Tunik Konnektör Erkek 90°</t>
  </si>
  <si>
    <t>https://www.direnc.net/0-numara-2li-klemens-1</t>
  </si>
  <si>
    <t>2 Pin 0 No 5.08mm Yeşil Klemens</t>
  </si>
  <si>
    <t>https://www.direnc.net/3-lu-2-no-klemens-en</t>
  </si>
  <si>
    <t>3 Pin 2 No 5.08mm Green Klemens</t>
  </si>
  <si>
    <t>https://www.motorobit.com/kf350-3p-35mm-3-pin-mini-terminal-klemens</t>
  </si>
  <si>
    <t>KF350-3P 3.5mm 3 Pin Mini Terminal Klemens</t>
  </si>
  <si>
    <t>KF128V-3P 5mm 3 Pin Terminal Klemens</t>
  </si>
  <si>
    <t>https://www.direnc.net/2-pin-381mm-90-gecmeli-takim-klemens-12403</t>
  </si>
  <si>
    <t>2 Pin 3.81mm 180° Erkek Geçmeli Yeşil Klemens</t>
  </si>
  <si>
    <t>Erkek Pin Header 2x3 Pin </t>
  </si>
  <si>
    <t>https://www.amazon.com.tr/2-8inç-SPI-Dokunmatik-Ekran-Modülü/dp/B0GWFFJBZN?source=ps-sl-shoppingads-lpcontext&amp;ref_=fplfs&amp;psc=1&amp;smid=A3H1WLZ8O8F5B0</t>
  </si>
  <si>
    <t>2.8inç SPI Dokunmatik TFT Ekran Modülü - 240x320 Piksel, ILI9341</t>
  </si>
  <si>
    <t>https://www.robotistan.com/4-pinli-push-buton-siyah-6x6x5mm</t>
  </si>
  <si>
    <t>4 Pinli Push Buton - Siyah (6x6x5 mm)</t>
  </si>
  <si>
    <t>https://www.direnc.net/esp32-wroom-32d-wifi-bluetooth-gelistirme-modulu-en</t>
  </si>
  <si>
    <t>ESP32-WROOM-32D Wifi Bluetooth Development Module</t>
  </si>
  <si>
    <t>https://www.ulutaselektronik.com/urun/3528-smd-rgb-led?srsltid=AfmBOopQV9KMK1JnDR6Jj-J1sSVbf_2W4ZPThsJLhiPtLxFD1KRNx5VC</t>
  </si>
  <si>
    <t>3528 SMD RGB LED</t>
  </si>
  <si>
    <t>AMAZON</t>
  </si>
  <si>
    <t>BYS slave kartlar için kullanılacaktır.</t>
  </si>
  <si>
    <t>2 Pin JST-PH 2.0 Tunik Konnektör Erkek 180°</t>
  </si>
  <si>
    <t>https://www.motorobit.com/2-pin-jst-ph-20-tunik-konnektor-erkek?srsltid=AfmBOopKXG64MKPM4x7HyHPMBxDBAdEosGXHuvUgZhO7KFIrEcZgdw4H</t>
  </si>
  <si>
    <t>BMS master kart için kullanılacaktır.</t>
  </si>
  <si>
    <t>ARKOTEK</t>
  </si>
  <si>
    <t>FARNELL</t>
  </si>
  <si>
    <t xml:space="preserve">EURO GÜNCEL KUR: </t>
  </si>
  <si>
    <t>DOLAR GÜNCEL KUR:</t>
  </si>
  <si>
    <t>1 Kanal 5V Röle Modülü</t>
  </si>
  <si>
    <t>5V 30A Röle Modülü</t>
  </si>
  <si>
    <t>4 Kanal 5V Röle Modülü</t>
  </si>
  <si>
    <t>https://www.robotistan.com/1-way-5v-relay-module-tekli-5v-role-karti?language=tr&amp;h=62226c45</t>
  </si>
  <si>
    <t>https://www.robo90.com/5v-30a-role-karti-1-kanal?srsltid=AfmBOorMgdKpNHdF2VxkX2eLFhIU7cDR4B1uOgU_Z7Gv8uemRG5jd8RFK9I</t>
  </si>
  <si>
    <t>https://www.robotistan.com/4-way-5v-relay-module-4lu-5v-role-karti?language=tr&amp;h=47deb384</t>
  </si>
  <si>
    <t>Motor sürücüsü için preşarj devresinde test edilecektir.</t>
  </si>
  <si>
    <t>https://www.direnc.net/acs712-30a-smd-akim-sensoru-entegresi-soic8</t>
  </si>
  <si>
    <t>ACS712 30A</t>
  </si>
  <si>
    <t>ACS712 20A</t>
  </si>
  <si>
    <t>https://www.motorobit.com/acs712-20a-soic-8-smd-akim-sensoru-entegresi?srsltid=AfmBOooEd6zJSGj3WCSN5VqY-eVSgJudDKnWz_wgmAyBNNze0BC_LnsX</t>
  </si>
  <si>
    <t>https://www.komponentci.net/ic-233k-1-cr2032-pil-yuvasi-dikey-pmu10525</t>
  </si>
  <si>
    <t>CR2032 Dikey Pil Yuvası</t>
  </si>
  <si>
    <t>https://www.robotistan.com/100nf-seramik-kondansator-paketi-10-adet</t>
  </si>
  <si>
    <t>100nF Seramik Kondansatör</t>
  </si>
  <si>
    <t>https://www.robolinkmarket.com/22nf-seramik-kondansator-paketi-10-adet?srsltid=AfmBOoqIPNTiaalLq_ttMqUTiqWm4M3GqqmMdFiT1gJAa1XyczqHF1TBNTY</t>
  </si>
  <si>
    <t xml:space="preserve"> 22nF Kondansatör</t>
  </si>
  <si>
    <t>https://www.robotistan.com/10nf-ceramic-capacitor-package-10-units</t>
  </si>
  <si>
    <t>10nF Kondansatör</t>
  </si>
  <si>
    <t>https://www.direnc.net/1nf-1000v-5-mercimek-kondansator-95mm?language=tr&amp;h=9782f819&amp;srsltid=AfmBOoo7PIwkNy0Nsc_6OmttfhBRb6m1t_pGv-xXooSgJ1KxdfKzQfFEoAQ</t>
  </si>
  <si>
    <t>1nF Kondansatör</t>
  </si>
  <si>
    <t>1uF Kondansatör</t>
  </si>
  <si>
    <t>https://www.robotistan.com/1uf-63v-electrolytic-capacitor</t>
  </si>
  <si>
    <t>https://www.robotistan.com/25v-10-uf-kondansator-paketi-10-adet?language=tr&amp;h=38a5bb64</t>
  </si>
  <si>
    <t>10uF Kondansatör</t>
  </si>
  <si>
    <t>https://www.direnc.net/10uf-25v-10-x7r-1206-smd-kondansator-13515</t>
  </si>
  <si>
    <t>10uF 1260</t>
  </si>
  <si>
    <t>https://www.robo90.com/22uf-25v-elektrolit-kondansator-4x7?srsltid=AfmBOorafBKA8ZWAHzVCNTSfkxmP-_Wb4HeDd29OmL98Txt5wr8bUmy6</t>
  </si>
  <si>
    <t xml:space="preserve"> 22uF 4x7 Kondansatör</t>
  </si>
  <si>
    <t>https://www.ulutaselektronik.com/urun/1n5822-do201ad-3a-40v-schottky-diyot?srsltid=AfmBOoqE8bP5Ldyy22dE6uZkZbaWr7FlgyWBz-LyC2k48ySsYcAppQTw</t>
  </si>
  <si>
    <t>1N5822 Diyot</t>
  </si>
  <si>
    <t>https://www.direnc.net/1n4148-diyot-mic?utm_source=google&amp;utm_medium=cpc&amp;utm_campaign=0100-pmax-alfa&amp;gad_source=1&amp;gad_campaignid=22157331511&amp;gbraid=0AAAAAD2u3wogkxUn3gl6M-S2mH6thwb5g&amp;gclid=CjwKCAjw8arQBhB9EiwAfIKdQg46hJkTYn8p66Y71EqCDZ7i5zBvTjl9GAcBjvlAR4p3MQnVRid5OBoCmsEQAvD_BwE</t>
  </si>
  <si>
    <t>1N4148</t>
  </si>
  <si>
    <t>https://www.ersinelektronik.com/urun/sigorta-yuvasi-tk79-5x20mm-pcb-tipi-sigorta-yuvasi-fuse-holder</t>
  </si>
  <si>
    <t>PCB Tip Cam Sigorta Yuvası</t>
  </si>
  <si>
    <t>https://www.komponentci.net/mb312-500m02ce02-5mm-2-pin-terminal-klemens-pmu57905</t>
  </si>
  <si>
    <t>5mm 2 Pin Klemens</t>
  </si>
  <si>
    <t>https://www.robo90.com/4-pin-disi-header?srsltid=AfmBOor-0Rp5CeMtlwEdIuJNckv0PQxHtjJCsMBcwJ26W5xXTAtXJNKl</t>
  </si>
  <si>
    <t>4 Pin 2.54mm Dişi Header</t>
  </si>
  <si>
    <t>5mm 3 Pos Klemens</t>
  </si>
  <si>
    <t>https://www.direnc.net/3-pin-0-no-508mm-yesil-klemens</t>
  </si>
  <si>
    <t>https://www.ozdisan.com/p/disi-headerlar-294/kls-electronic-kls1-208-1-07-s-482422</t>
  </si>
  <si>
    <t>1x7 2.54mm Header</t>
  </si>
  <si>
    <t>2.54mm 1x20 Dişi Header</t>
  </si>
  <si>
    <t>https://www.direnc.net/2-pin-381mm-90-gecmeli-takim-klemens-12403?language=tr&amp;h=0368915a&amp;utm_source=google&amp;utm_medium=cpc&amp;utm_campaign=0200-pmax-beta&amp;gad_source=4&amp;gad_campaignid=20399507008&amp;gbraid=0AAAAAD2u3wra5ZYyKT5LFolybSIhf8ndc&amp;gclid=CjwKCAjw8arQBhB9EiwAfIKdQkGkMLjhGT_00Gh3Npb0zmDAusMtHU2wHnVns3-PQmPXVvT_A61ShRoCUQEQAvD_BwE</t>
  </si>
  <si>
    <t>2 Pin 3.81mm Erkek Klemens</t>
  </si>
  <si>
    <t>2 Pin 3.81mm Dişi Klemens</t>
  </si>
  <si>
    <t>https://www.direnc.net/2-pin-381mm-90-gecmeli-takim-klemens?language=tr&amp;h=214db9b9&amp;utm_source=google&amp;utm_medium=cpc&amp;utm_campaign=0200-pmax-beta&amp;gad_source=4&amp;gad_campaignid=20399507008&amp;gbraid=0AAAAAD2u3wra5ZYyKT5LFolybSIhf8ndc&amp;gclid=CjwKCAjw8arQBhB9EiwAfIKdQsuZkBO2KGkmKe_Of5SEwjazbv6dVFWb5MgzvIdDKp3yqwbLCEdwphoCIvAQAvD_BwE</t>
  </si>
  <si>
    <t>2 Pin Header Erkek</t>
  </si>
  <si>
    <t>https://www.e-komponent.com/dm3cs-sf-hirose-electric-pc-card-soketler?srsltid=AfmBOopmorwsZXBfcgCnfS6KuIb_gCceCtWu2k2vdulu9G3M0CyC-MloZ1c</t>
  </si>
  <si>
    <t>SD Kart Konnektör</t>
  </si>
  <si>
    <t>https://www.robotistan.com/usb-disi-b-tip-konnektor-c-262</t>
  </si>
  <si>
    <t>USB-B Dişi</t>
  </si>
  <si>
    <t>https://www.direnc.net/100uh-4a-bobin</t>
  </si>
  <si>
    <t>100uH A Bobin</t>
  </si>
  <si>
    <t>https://www.robotistan.com/3mm-seffaf-beyaz-led-paketi-10-adet</t>
  </si>
  <si>
    <t>Beyaz Led 3mm</t>
  </si>
  <si>
    <t>https://www.direnc.net/16000mhz-kristal-hc-49s</t>
  </si>
  <si>
    <t>16MHz Kristal</t>
  </si>
  <si>
    <t>https://www.motorobit.com/12000-mhz-kristal-kisa-bacakli?srsltid=AfmBOopdKVyjWKZKhKkrWwzVuFUbAUP_vJUiFIiSm0aSUu5eOXlTZULh5Ms</t>
  </si>
  <si>
    <t>https://www.direnc.net/bd139-transistor-bjt-npn-to-26</t>
  </si>
  <si>
    <t>BD139</t>
  </si>
  <si>
    <t>https://www.direnc.net/10k-1w-direnc-paketi-50-adet</t>
  </si>
  <si>
    <t>1K Direnç TH</t>
  </si>
  <si>
    <t>10K Direnç TH</t>
  </si>
  <si>
    <t>https://www.motorobit.com/1k-1w-direnc-10-adet?srsltid=AfmBOorN6jc9SoM1t-XI-GdbvUW6MOyHTD7kp3U3bD5wqMZJ3jx2KONN_ZI</t>
  </si>
  <si>
    <t>https://www.motorobit.com/20k-14w-direnc-10-adet?srsltid=AfmBOoodwojaBAOVS72gz5LrnI_dHB6Wv_vT1bvHZ9Y1iZaxmEZeQEbv80A</t>
  </si>
  <si>
    <t>20K Direnç TH</t>
  </si>
  <si>
    <t>https://www.motorobit.com/120r-14w-direnc-10-adet?srsltid=AfmBOooYFM1HiFqD2eFe-jhwl3l9lyP1oaurIC2wRqxYxHfgwkgkBEBmpRI</t>
  </si>
  <si>
    <t>120 Ohm Direnç</t>
  </si>
  <si>
    <t>https://www.motorobit.com/33k-14w-direnc-10-adet?srsltid=AfmBOoqwlFeVv-U1pdjH6Ry6lH9Z5y2c_-5QhUQTsLgF3ocaEqkrAc2J51I</t>
  </si>
  <si>
    <t>3.3K Ohm Direnç</t>
  </si>
  <si>
    <t>4.7K Ohm Direnç</t>
  </si>
  <si>
    <t>https://www.motorobit.com/47k-14w-direnc-10-adet?srsltid=AfmBOopeMgel1DnoQ7hNtGRiADGMhk0vk7xf4mQhZDmzP4pZOzE5Y9MFCNI</t>
  </si>
  <si>
    <t>https://www.motorobit.com/220r-14w-direnc-10-adet?srsltid=AfmBOopvduVFz9PO9BAZA8kfV4yoEFjt_TN_NqD7gGPR3fRYowj7V5_gsKw</t>
  </si>
  <si>
    <t>220 Ohm Direnç</t>
  </si>
  <si>
    <t>https://www.ulutaselektronik.com/urun/g5v-1-dc12-12v-1a-6-pin-mini-omron-role?srsltid=AfmBOoplDYs3zv5HZ-7b9sqg9zrzHNIecyrwykdXnipIn-N2U7rOvDVN</t>
  </si>
  <si>
    <t>6 Pin Mini Röle 12V 1A</t>
  </si>
  <si>
    <t>https://www.ozdisan.com/p/pc-kart-soketleri-706/attend-112a-taar-r03-585486</t>
  </si>
  <si>
    <t>1.8mm SD Kart Konnektör</t>
  </si>
  <si>
    <t>https://www.direnc.net/lm2596s-50nopb-5v-3a-smd-voltaj-regulatoru?language=tr&amp;h=23414cc4&amp;srsltid=AfmBOoqLbPhlv9suEtYcf3lzHNkzihpgNQrcesGeB07ohBbyOCknDLDiR40</t>
  </si>
  <si>
    <t>LM2596-5</t>
  </si>
  <si>
    <t>https://www.robocombo.com/atmega328p-pu-dip28-mikrodenetleyici-2724?srsltid=AfmBOoo9zvgw18rIBenHCAWKcBOiYMAlqi1y-yxbbwVeuitIJXPKpdiUtFQ</t>
  </si>
  <si>
    <t>Atmega328PU</t>
  </si>
  <si>
    <t>https://www.direnc.net/mcp2515-stand-alone-can-controller-with-spi-interface</t>
  </si>
  <si>
    <t>DIP18 MCP2515</t>
  </si>
  <si>
    <t>TJA1050</t>
  </si>
  <si>
    <t>https://www.direnc.net/tja1050t/cm-75ma-smd-yuksek-can-bus-entegresi-soic8</t>
  </si>
  <si>
    <t>https://www.ozdisan.com/p/buffer-driver-receiver-ve-transceiver-entegreleri-244/texas-sn74lvc125apw-1046579</t>
  </si>
  <si>
    <t>SN74LVC125APW</t>
  </si>
  <si>
    <t>https://www.robotistan.com/24c32-dip8</t>
  </si>
  <si>
    <t>24C32 - DIP8 DIP EEPROM</t>
  </si>
  <si>
    <t>https://www.motorobit.com/ds3231sn-soic-16-smd-zamanlayici-entegre?srsltid=AfmBOopWr5VkKWKIKyiC96qAtNUdtc9oLfJNugf3PW-UBbYEVALC3XC5</t>
  </si>
  <si>
    <t>DS3231</t>
  </si>
  <si>
    <t>https://www.robo90.com/ams1117-3-3v-voltaj-regulatoru-sot223-smd?srsltid=AfmBOopzKpz8pkFOvyH0ptK1xUsM1GxygFGtweaTQOkh2zMaP5fc-AMv3h8</t>
  </si>
  <si>
    <t>AMS1117 3.3V</t>
  </si>
  <si>
    <t>https://www.direnc.net/ch340g-smd-usb-arabirimi-arayuz-kontrolor</t>
  </si>
  <si>
    <t>CH340G</t>
  </si>
  <si>
    <t>220uF Elektrolikit Kondansatör</t>
  </si>
  <si>
    <t>https://www.motorobit.com/220uf-35v-elektrolitik-kondansator-8x12mm?srsltid=AfmBOooWqthoGW72sGcAYovocSOKc-IW_Oz4NbfHJCT8pXGUIhA7um12</t>
  </si>
  <si>
    <t>https://www.motorobit.com/680uf-16v-elektrolitik-kondansator-8x12mm?srsltid=AfmBOoqlMzZx6_TjpAT7BZpG0-1ZXw0mY8R80a1ETVql2nehiwbq3njSkwo</t>
  </si>
  <si>
    <t>680uF Elektrolikit Kondansatör</t>
  </si>
  <si>
    <t>https://www.motorobit.com/470r-1w-direnc-10-adet?srsltid=AfmBOopj2VeeP8MaMNsCxho-9TSrmidJbD6I1QsKP1YQDAzAxLZXLq8XPWw</t>
  </si>
  <si>
    <t>470 Ohm Direnç</t>
  </si>
  <si>
    <t>https://www.direnc.net/10k-14w-direnc?language=tr&amp;h=daaaeb17&amp;srsltid=AfmBOooer_yn8QhxqH5GaP_8DxTrwTitaHeuT13nFgSQSRmc4_sMaZCgz60</t>
  </si>
  <si>
    <t>10 Ohm Direnç</t>
  </si>
  <si>
    <t>330 Ohm Direnç</t>
  </si>
  <si>
    <t>https://www.robotistan.com/14w-330r-direnc-paketi-10-adet</t>
  </si>
  <si>
    <t>https://www.motorobit.com/1k-100w-aluminyum-direnc?srsltid=AfmBOoomonFOk2uf0i3fN7Q0gxZrnM0Q2qWk0XLM2_KQtzAy5XB9KPiI</t>
  </si>
  <si>
    <t>Preşarj devrtesi için kullanılacaktır.</t>
  </si>
  <si>
    <t>AKS kartı için kullanılacaktır.</t>
  </si>
  <si>
    <t>470R 100W Alüminyum Direnç</t>
  </si>
  <si>
    <t>https://www.motorobit.com/470r-100w-5-aluminyum-direnc?srsltid=AfmBOor-HXNcpSJV9tDG5jdJhV2dfkGZf1d2-I8aUcSsaO8sDnf1d6nE</t>
  </si>
  <si>
    <t>SOĞUTMA</t>
  </si>
  <si>
    <t>KOMPONENTLER</t>
  </si>
  <si>
    <t>KONNEKTÖR</t>
  </si>
  <si>
    <t>MODÜLLER VE MALZEMELERİ</t>
  </si>
  <si>
    <t>KABLO</t>
  </si>
  <si>
    <t>SWİTCH</t>
  </si>
  <si>
    <t>KLEMENS</t>
  </si>
  <si>
    <t>LEHİM MALZEMELERİ</t>
  </si>
  <si>
    <t>DEMİRBAŞ</t>
  </si>
  <si>
    <t>SARG MALZEMELERİ</t>
  </si>
  <si>
    <t>hepsiburada</t>
  </si>
  <si>
    <t>STOKTA YOK</t>
  </si>
  <si>
    <t>stokta yok</t>
  </si>
  <si>
    <t>3 tane alındı 7 tane alınacak</t>
  </si>
  <si>
    <t>39 kaldı 26 alındı</t>
  </si>
  <si>
    <t>yok</t>
  </si>
  <si>
    <t>2 tane alındı 6 alınacak</t>
  </si>
  <si>
    <t>1 tane söylendi</t>
  </si>
  <si>
    <t>STOK YOK</t>
  </si>
  <si>
    <t>Stokta yok</t>
  </si>
  <si>
    <t>stokta yok bak</t>
  </si>
  <si>
    <t>hepsiburadadan alındı</t>
  </si>
  <si>
    <t>yok bak</t>
  </si>
  <si>
    <t>stok yok</t>
  </si>
  <si>
    <t>srtok yok</t>
  </si>
  <si>
    <t>1 tane alındı</t>
  </si>
  <si>
    <t>24 geldi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</si>
</sst>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&quot;₺&quot;#,##0.00"/>
    <numFmt numFmtId="165" formatCode="[$€-2]\ #,##0.00"/>
    <numFmt numFmtId="166" formatCode="#,##0.00\ [$€-1]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name val="Arial"/>
      <family val="2"/>
      <charset val="162"/>
    </font>
    <font>
      <sz val="11"/>
      <color rgb="FF262B2F"/>
      <name val="Arial"/>
      <family val="2"/>
      <charset val="162"/>
    </font>
    <font>
      <sz val="12"/>
      <name val="Arial"/>
      <family val="2"/>
      <charset val="162"/>
    </font>
    <font>
      <b/>
      <sz val="11"/>
      <name val="Arial"/>
      <family val="2"/>
      <charset val="162"/>
    </font>
    <font>
      <sz val="11"/>
      <color rgb="FF3D3D3D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rgb="FF021E2C"/>
      <name val="Arial"/>
      <family val="2"/>
      <charset val="162"/>
    </font>
    <font>
      <sz val="11"/>
      <color theme="1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rgb="FF262B2F"/>
      <name val="Arial"/>
      <family val="2"/>
      <charset val="162"/>
    </font>
    <font>
      <sz val="11"/>
      <color rgb="FF373A3B"/>
      <name val="Arial"/>
      <family val="2"/>
      <charset val="162"/>
    </font>
    <font>
      <sz val="11"/>
      <name val="Arial"/>
      <family val="2"/>
      <charset val="162"/>
    </font>
    <font>
      <sz val="11"/>
      <color rgb="FF0F1111"/>
      <name val="Arial"/>
      <family val="2"/>
      <charset val="162"/>
    </font>
    <font>
      <sz val="14"/>
      <color rgb="FF161616"/>
      <name val="Arial"/>
      <family val="2"/>
      <charset val="162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2" xfId="1" applyBorder="1" applyAlignment="1">
      <alignment vertical="center" wrapText="1"/>
    </xf>
    <xf numFmtId="0" fontId="8" fillId="0" borderId="0" xfId="1" applyAlignment="1">
      <alignment vertical="center" wrapText="1"/>
    </xf>
    <xf numFmtId="0" fontId="8" fillId="0" borderId="3" xfId="1" applyBorder="1" applyAlignment="1">
      <alignment vertical="center" wrapText="1"/>
    </xf>
    <xf numFmtId="0" fontId="8" fillId="0" borderId="1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2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3" xfId="0" applyBorder="1"/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164" fontId="0" fillId="2" borderId="4" xfId="0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164" fontId="12" fillId="2" borderId="1" xfId="2" applyNumberFormat="1" applyFont="1" applyFill="1" applyBorder="1" applyAlignment="1">
      <alignment horizontal="center" vertical="center"/>
    </xf>
    <xf numFmtId="0" fontId="8" fillId="0" borderId="0" xfId="1" applyAlignment="1">
      <alignment wrapText="1"/>
    </xf>
    <xf numFmtId="0" fontId="0" fillId="2" borderId="1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/>
    <xf numFmtId="164" fontId="13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" xfId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0" fillId="0" borderId="11" xfId="0" applyBorder="1"/>
    <xf numFmtId="0" fontId="1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0" borderId="0" xfId="0" applyFont="1" applyAlignment="1">
      <alignment vertical="center"/>
    </xf>
    <xf numFmtId="164" fontId="23" fillId="0" borderId="0" xfId="0" applyNumberFormat="1" applyFont="1"/>
    <xf numFmtId="164" fontId="0" fillId="0" borderId="0" xfId="0" applyNumberFormat="1"/>
    <xf numFmtId="164" fontId="15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24" fillId="0" borderId="0" xfId="0" applyNumberFormat="1" applyFont="1"/>
    <xf numFmtId="164" fontId="6" fillId="0" borderId="0" xfId="0" applyNumberFormat="1" applyFont="1"/>
    <xf numFmtId="0" fontId="8" fillId="0" borderId="1" xfId="1" applyFill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5" fillId="0" borderId="1" xfId="0" applyFont="1" applyBorder="1" applyAlignment="1">
      <alignment wrapText="1"/>
    </xf>
    <xf numFmtId="0" fontId="20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27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23" fillId="0" borderId="0" xfId="0" applyFont="1"/>
    <xf numFmtId="165" fontId="29" fillId="2" borderId="0" xfId="0" applyNumberFormat="1" applyFont="1" applyFill="1" applyAlignment="1">
      <alignment horizontal="center" vertical="center"/>
    </xf>
    <xf numFmtId="164" fontId="31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66" fontId="30" fillId="2" borderId="1" xfId="0" applyNumberFormat="1" applyFont="1" applyFill="1" applyBorder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0" fillId="2" borderId="1" xfId="0" applyFill="1" applyBorder="1"/>
    <xf numFmtId="0" fontId="0" fillId="2" borderId="3" xfId="0" applyFill="1" applyBorder="1"/>
    <xf numFmtId="0" fontId="0" fillId="0" borderId="1" xfId="0" applyBorder="1" applyAlignment="1">
      <alignment wrapText="1"/>
    </xf>
    <xf numFmtId="0" fontId="0" fillId="4" borderId="0" xfId="0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textRotation="90" wrapText="1"/>
    </xf>
    <xf numFmtId="0" fontId="9" fillId="0" borderId="15" xfId="0" applyFont="1" applyBorder="1" applyAlignment="1">
      <alignment horizontal="center" vertical="center" textRotation="90" wrapText="1"/>
    </xf>
    <xf numFmtId="0" fontId="9" fillId="0" borderId="16" xfId="0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/>
    </xf>
    <xf numFmtId="0" fontId="23" fillId="0" borderId="15" xfId="0" applyFont="1" applyBorder="1" applyAlignment="1">
      <alignment horizontal="center" vertical="center" textRotation="90"/>
    </xf>
    <xf numFmtId="0" fontId="23" fillId="0" borderId="16" xfId="0" applyFont="1" applyBorder="1" applyAlignment="1">
      <alignment horizontal="center" vertical="center" textRotation="90"/>
    </xf>
    <xf numFmtId="0" fontId="9" fillId="0" borderId="14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center" vertical="center" textRotation="90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torobit.com/isiya-dayanikli-kapton-bant-30mm-x-30m" TargetMode="External"/><Relationship Id="rId299" Type="http://schemas.openxmlformats.org/officeDocument/2006/relationships/hyperlink" Target="https://kompozitpazari.com/urun/gfm-vakum-torbasi-gfm-1vb001-tube-23-m-150-m-180-c/" TargetMode="External"/><Relationship Id="rId21" Type="http://schemas.openxmlformats.org/officeDocument/2006/relationships/hyperlink" Target="https://www.hepsiburada.com/luxor-kimya-izopropil-alkol-5-lt-99-9-saf-ipa-yuzey-temizleyici-p-HBCV00005Y25A1?magaza=LUXOREND" TargetMode="External"/><Relationship Id="rId63" Type="http://schemas.openxmlformats.org/officeDocument/2006/relationships/hyperlink" Target="https://www.direnc.net/kts103-on-off-on-3-ayak-toggle" TargetMode="External"/><Relationship Id="rId159" Type="http://schemas.openxmlformats.org/officeDocument/2006/relationships/hyperlink" Target="https://www.ozdisan.com/p/voltaj-referans-entegreleri-287/texas-tl431aidbzr-341981" TargetMode="External"/><Relationship Id="rId324" Type="http://schemas.openxmlformats.org/officeDocument/2006/relationships/hyperlink" Target="https://www.robotistan.com/60x60x25mm-fan-12v-0?language=tr&amp;h=0bb3c1ce" TargetMode="External"/><Relationship Id="rId366" Type="http://schemas.openxmlformats.org/officeDocument/2006/relationships/hyperlink" Target="https://www.ozdisan.com/p/smt-smd-ve-cip-direncler-194/viking-crt05f7e2701-1054399" TargetMode="External"/><Relationship Id="rId170" Type="http://schemas.openxmlformats.org/officeDocument/2006/relationships/hyperlink" Target="https://www.ozdisan.com/p/film-kapasitorler-179/kemet-r82ec3220dq70j-28493" TargetMode="External"/><Relationship Id="rId226" Type="http://schemas.openxmlformats.org/officeDocument/2006/relationships/hyperlink" Target="https://www.ozdisan.com/p/ac-dc-cevirici-ve-offline-switch-entegreleri-271/ons-ncp1252ddr2g-732373" TargetMode="External"/><Relationship Id="rId433" Type="http://schemas.openxmlformats.org/officeDocument/2006/relationships/hyperlink" Target="https://www.direnc.net/2-pin-381mm-90-gecmeli-takim-klemens?language=tr&amp;h=214db9b9&amp;utm_source=google&amp;utm_medium=cpc&amp;utm_campaign=0200-pmax-beta&amp;gad_source=4&amp;gad_campaignid=20399507008&amp;gbraid=0AAAAAD2u3wra5ZYyKT5LFolybSIhf8ndc&amp;gclid=CjwKCAjw8arQBhB9EiwAfIKdQsuZkBO2KGkmKe_Of5SEwjazbv6dVFWb5MgzvIdDKp3yqwbLCEdwphoCIvAQAvD_BwE" TargetMode="External"/><Relationship Id="rId268" Type="http://schemas.openxmlformats.org/officeDocument/2006/relationships/hyperlink" Target="https://www.ulutaselektronik.com/urun/bcx56-16-sot-89-1a-80v-1w-npn-transistor?srsltid=AfmBOor-gYjA2R6vmjt9uAjwGanh5bN0bODB3H_ckeXVrMYMdRy-u1ic" TargetMode="External"/><Relationship Id="rId32" Type="http://schemas.openxmlformats.org/officeDocument/2006/relationships/hyperlink" Target="https://www.hepsiburada.com/koodmax-s160-buyuk-telefon-tamir-pedi-isiya-dayanikli-silikon-miknatisli-anti-statik-kokusuz-45x30-cm-pm-HBC00008B3H6M" TargetMode="External"/><Relationship Id="rId74" Type="http://schemas.openxmlformats.org/officeDocument/2006/relationships/hyperlink" Target="https://www.robotistan.com/40-pin-ayrilabilen-disi-disi-f-f-jumper-kablo-200-mm?language=tr&amp;h=dcf1e2b4&amp;_sgm_campaign=scn_bfbf067252000&amp;_sgm_source=770&amp;_sgm_action=click" TargetMode="External"/><Relationship Id="rId128" Type="http://schemas.openxmlformats.org/officeDocument/2006/relationships/hyperlink" Target="https://www.ozdisan.com/p/aluminyum-kapasitorler-180/koshin-pkr1-025v101me110-t2-5-36545" TargetMode="External"/><Relationship Id="rId335" Type="http://schemas.openxmlformats.org/officeDocument/2006/relationships/hyperlink" Target="https://arkotekelektronik.com/ina229aidgsr-vssop10?srsltid=AfmBOooMEs9p0rPpPCx3CxbOlLMaDN8pKzUPZi4EhERaJsfQcGqp_oM-" TargetMode="External"/><Relationship Id="rId377" Type="http://schemas.openxmlformats.org/officeDocument/2006/relationships/hyperlink" Target="https://www.ozdisan.com/p/genel-amacli-diyotlar-389/panjit-ll4148-r2-10001-347242" TargetMode="External"/><Relationship Id="rId5" Type="http://schemas.openxmlformats.org/officeDocument/2006/relationships/hyperlink" Target="https://www.hepsiburada.com/zenith-3-6-x-250-mm-kablo-bagi-plastik-cirt-kelepce-paket-100adet-p-HBCV00000FAIGZ" TargetMode="External"/><Relationship Id="rId181" Type="http://schemas.openxmlformats.org/officeDocument/2006/relationships/hyperlink" Target="https://www.pilevreni.com/200-amper-disi-erkek-konnektor-cifti?srsltid=AfmBOorUOIs4PZg1RM9_ePwE8WQc-W8IpW9k7xj7fvu8KM5aYDyE4zgw" TargetMode="External"/><Relationship Id="rId237" Type="http://schemas.openxmlformats.org/officeDocument/2006/relationships/hyperlink" Target="https://www.ozdisan.com/p/disi-headerlar-294/connfly-ds1023-1x2s21-352058" TargetMode="External"/><Relationship Id="rId402" Type="http://schemas.openxmlformats.org/officeDocument/2006/relationships/hyperlink" Target="https://www.komponentci.net/erkek-pin-header-2x3-pin-6pin-12-mm-254mm-2x3-180-iki-sira-pmu8357" TargetMode="External"/><Relationship Id="rId279" Type="http://schemas.openxmlformats.org/officeDocument/2006/relationships/hyperlink" Target="https://www.ozdisan.com/p/ferrit-cekirdekler-440/cosmo-cf197t4218ac-442284" TargetMode="External"/><Relationship Id="rId444" Type="http://schemas.openxmlformats.org/officeDocument/2006/relationships/hyperlink" Target="https://www.motorobit.com/120r-14w-direnc-10-adet?srsltid=AfmBOooYFM1HiFqD2eFe-jhwl3l9lyP1oaurIC2wRqxYxHfgwkgkBEBmpRI" TargetMode="External"/><Relationship Id="rId43" Type="http://schemas.openxmlformats.org/officeDocument/2006/relationships/hyperlink" Target="https://www.hepsiburada.com/sonoff-d1-2-kablo-birlestirici-klemens-p-HBCV00005TO0XA?magaza=SONOFF%20T&#220;RK&#304;YE" TargetMode="External"/><Relationship Id="rId139" Type="http://schemas.openxmlformats.org/officeDocument/2006/relationships/hyperlink" Target="https://www.ulutaselektronik.com/urun/irfp4668pbf-to-247-200v-130a-mosfet" TargetMode="External"/><Relationship Id="rId290" Type="http://schemas.openxmlformats.org/officeDocument/2006/relationships/hyperlink" Target="https://kompozitpazari.com/urun/mek-p-olcum-kabi-500-ml/" TargetMode="External"/><Relationship Id="rId304" Type="http://schemas.openxmlformats.org/officeDocument/2006/relationships/hyperlink" Target="https://kompozitpazari.com/urun/cam-elyaf-kece-300-g-m2-toz-baglayicili/" TargetMode="External"/><Relationship Id="rId346" Type="http://schemas.openxmlformats.org/officeDocument/2006/relationships/hyperlink" Target="https://www.direnc.net/0-numara-2li-klemens-1" TargetMode="External"/><Relationship Id="rId388" Type="http://schemas.openxmlformats.org/officeDocument/2006/relationships/hyperlink" Target="https://www.ozdisan.com/p/smt-smd-ve-cip-direncler-194/panasoniceurope-erj6enf1200v-614763" TargetMode="External"/><Relationship Id="rId85" Type="http://schemas.openxmlformats.org/officeDocument/2006/relationships/hyperlink" Target="https://www.hepsiburada.com/lg-19v-3-42a-6-5-4-4mm-monitor-adaptoru-pm-HBC0000A5MC2W" TargetMode="External"/><Relationship Id="rId150" Type="http://schemas.openxmlformats.org/officeDocument/2006/relationships/hyperlink" Target="https://www.ozdisan.com/p/smt-smd-ve-cip-direncler-194/yageo-rc0805jr-07100kl-837186" TargetMode="External"/><Relationship Id="rId192" Type="http://schemas.openxmlformats.org/officeDocument/2006/relationships/hyperlink" Target="https://www.ozdisan.com/p/pin-headerlar-293/molex-molex-0901200125-1210994?categoryName=pin-headerlar-293&amp;productSlug=molex-molex-0901200125-1210994" TargetMode="External"/><Relationship Id="rId206" Type="http://schemas.openxmlformats.org/officeDocument/2006/relationships/hyperlink" Target="https://www.ozdisan.com/p/smt-smd-ve-cip-direncler-194/royalohm-hp05w3f2201t5e-604221" TargetMode="External"/><Relationship Id="rId413" Type="http://schemas.openxmlformats.org/officeDocument/2006/relationships/hyperlink" Target="https://www.motorobit.com/220uf-35v-elektrolitik-kondansator-8x12mm?srsltid=AfmBOooWqthoGW72sGcAYovocSOKc-IW_Oz4NbfHJCT8pXGUIhA7um12" TargetMode="External"/><Relationship Id="rId248" Type="http://schemas.openxmlformats.org/officeDocument/2006/relationships/hyperlink" Target="https://www.ozdisan.com/p/trimpot-potansiyometreler-396/bourns-3361p-1-103glf-410905" TargetMode="External"/><Relationship Id="rId455" Type="http://schemas.openxmlformats.org/officeDocument/2006/relationships/hyperlink" Target="https://www.robotistan.com/24c32-dip8" TargetMode="External"/><Relationship Id="rId12" Type="http://schemas.openxmlformats.org/officeDocument/2006/relationships/hyperlink" Target="https://online.gunsanelectric.com/urun/gunsan-yesil-elektrik-izolasyon-bandi-10-adet" TargetMode="External"/><Relationship Id="rId108" Type="http://schemas.openxmlformats.org/officeDocument/2006/relationships/hyperlink" Target="https://www.robocombo.com/ams1117-3.3v-voltaj-regulatoru-2727" TargetMode="External"/><Relationship Id="rId315" Type="http://schemas.openxmlformats.org/officeDocument/2006/relationships/hyperlink" Target="https://www.hepsiburada.com/isuzu-stop-musur-soketi-kablolu-disi-6-fis-pm-HBC00006ECQ6H?magaza=YalazOtomotiv" TargetMode="External"/><Relationship Id="rId357" Type="http://schemas.openxmlformats.org/officeDocument/2006/relationships/hyperlink" Target="https://www.motorobit.com/2-pin-jst-ph-20-tunik-konnektor-erkek?srsltid=AfmBOopKXG64MKPM4x7HyHPMBxDBAdEosGXHuvUgZhO7KFIrEcZgdw4H" TargetMode="External"/><Relationship Id="rId54" Type="http://schemas.openxmlformats.org/officeDocument/2006/relationships/hyperlink" Target="https://www.direnc.net/dc153-on-off-on-toggle" TargetMode="External"/><Relationship Id="rId96" Type="http://schemas.openxmlformats.org/officeDocument/2006/relationships/hyperlink" Target="https://www.robocombo.com/zd-180-1.50mm-lehim-sokme-fitili-4409" TargetMode="External"/><Relationship Id="rId161" Type="http://schemas.openxmlformats.org/officeDocument/2006/relationships/hyperlink" Target="https://www.ozdisan.com/p/guc-surucu-entegreleri-270/infineon-2eds8265hxuma1-650229" TargetMode="External"/><Relationship Id="rId217" Type="http://schemas.openxmlformats.org/officeDocument/2006/relationships/hyperlink" Target="https://www.ozdisan.com/p/smt-smd-ve-mlcc-kapasitorler-184/samsung-cl31a106kbhnnne-437276" TargetMode="External"/><Relationship Id="rId399" Type="http://schemas.openxmlformats.org/officeDocument/2006/relationships/hyperlink" Target="https://www.motorobit.com/kf350-3p-35mm-3-pin-mini-terminal-klemens" TargetMode="External"/><Relationship Id="rId259" Type="http://schemas.openxmlformats.org/officeDocument/2006/relationships/hyperlink" Target="https://www.ozdisan.com/p/aluminyum-kapasitorler-180/koshin-pkrh-500v680mk300-735826" TargetMode="External"/><Relationship Id="rId424" Type="http://schemas.openxmlformats.org/officeDocument/2006/relationships/hyperlink" Target="https://www.ulutaselektronik.com/urun/1n5822-do201ad-3a-40v-schottky-diyot?srsltid=AfmBOoqE8bP5Ldyy22dE6uZkZbaWr7FlgyWBz-LyC2k48ySsYcAppQTw" TargetMode="External"/><Relationship Id="rId466" Type="http://schemas.openxmlformats.org/officeDocument/2006/relationships/printerSettings" Target="../printerSettings/printerSettings1.bin"/><Relationship Id="rId23" Type="http://schemas.openxmlformats.org/officeDocument/2006/relationships/hyperlink" Target="https://www.hepsiburada.com/beybi-lateks-pudrasiz-l-large-beden-muayene-eldiven-100lu-paket-p-HBCV00001X32YB" TargetMode="External"/><Relationship Id="rId119" Type="http://schemas.openxmlformats.org/officeDocument/2006/relationships/hyperlink" Target="https://www.ozdisan.com/p/lineer-voltaj-regulatorleri-279/ams-ams1117-5-0-350058" TargetMode="External"/><Relationship Id="rId270" Type="http://schemas.openxmlformats.org/officeDocument/2006/relationships/hyperlink" Target="https://www.motorobit.com/350vac-560vdc-10mm-varistor-10d561k?gad_source=1&amp;gad_campaignid=23220066671&amp;gbraid=0AAAAADCrc1K7QbcRESq-cfcybNxusK2c-&amp;gclid=Cj0KCQjw-pHPBhCdARIsAHXYWP8A8T-YEfCmfz9wt4qcl8Srvy76j1sdvGqvj0nedX0qbP9I6QXAzVcaAjtnEALw_wcB" TargetMode="External"/><Relationship Id="rId326" Type="http://schemas.openxmlformats.org/officeDocument/2006/relationships/hyperlink" Target="https://www.hepsiburada.com/arctic-mx-4-termal-macun-4-gr-actcp00002b-pm-HB00000KBT84" TargetMode="External"/><Relationship Id="rId65" Type="http://schemas.openxmlformats.org/officeDocument/2006/relationships/hyperlink" Target="https://www.komponentci.net/wd19h-g0-19mm-cikik-yayli-metal-buton-pmu55214" TargetMode="External"/><Relationship Id="rId130" Type="http://schemas.openxmlformats.org/officeDocument/2006/relationships/hyperlink" Target="https://www.robotistan.com/10k-cok-turlu-trimpot-dik-3296w-1-103" TargetMode="External"/><Relationship Id="rId368" Type="http://schemas.openxmlformats.org/officeDocument/2006/relationships/hyperlink" Target="https://www.ozdisan.com/p/smt-smd-ve-cip-direncler-194/royalohm-hp05w3j0103t5e-604332" TargetMode="External"/><Relationship Id="rId172" Type="http://schemas.openxmlformats.org/officeDocument/2006/relationships/hyperlink" Target="https://www.robocombo.com/2li-Gecmeli-Klemens-381mm-90-Derece,PR-949.html?srsltid=AfmBOor-x_28nrVK_3U_dOqk87JWGJ13WmDCG54L3eCnGJE-0AZN1fbj" TargetMode="External"/><Relationship Id="rId228" Type="http://schemas.openxmlformats.org/officeDocument/2006/relationships/hyperlink" Target="https://www.ozdisan.com/p/genel-amacli-diyotlar-389/hottech-es1d-sma-484812" TargetMode="External"/><Relationship Id="rId435" Type="http://schemas.openxmlformats.org/officeDocument/2006/relationships/hyperlink" Target="https://www.e-komponent.com/dm3cs-sf-hirose-electric-pc-card-soketler?srsltid=AfmBOopmorwsZXBfcgCnfS6KuIb_gCceCtWu2k2vdulu9G3M0CyC-MloZ1c" TargetMode="External"/><Relationship Id="rId281" Type="http://schemas.openxmlformats.org/officeDocument/2006/relationships/hyperlink" Target="https://www.ozdisan.com/p/ferrit-cekirdekler-440/cosmo-cf139t4218ac-632644" TargetMode="External"/><Relationship Id="rId337" Type="http://schemas.openxmlformats.org/officeDocument/2006/relationships/hyperlink" Target="https://www.ozdisan.com/p/smt-smd-ve-cip-direncler-194/yageo-rc0805jr-0710rl-497702" TargetMode="External"/><Relationship Id="rId34" Type="http://schemas.openxmlformats.org/officeDocument/2006/relationships/hyperlink" Target="https://www.hepsiburada.com/wellhise-wh-16-havya-lehim-temizleme-teli-pm-HB00000Y9WOG" TargetMode="External"/><Relationship Id="rId76" Type="http://schemas.openxmlformats.org/officeDocument/2006/relationships/hyperlink" Target="https://www.elektrocelik.com/oznur-075mm-nyaf-kablo-siyah-100-metre-nyaf-kablo-oznur-elektrocelik" TargetMode="External"/><Relationship Id="rId141" Type="http://schemas.openxmlformats.org/officeDocument/2006/relationships/hyperlink" Target="https://www.ozdisan.com/p/smt-smd-ve-cip-direncler-194/yageo-rc0805jr-074k7l-837266" TargetMode="External"/><Relationship Id="rId379" Type="http://schemas.openxmlformats.org/officeDocument/2006/relationships/hyperlink" Target="https://www.ozdisan.com/p/tvs-diyotlar-386/diodes-dup2105soq-7-1042031" TargetMode="External"/><Relationship Id="rId7" Type="http://schemas.openxmlformats.org/officeDocument/2006/relationships/hyperlink" Target="https://www.hepsiburada.com/barcodex-72x10-mm-standart-kuyumcu-etiketi-yuksek-yapiskanlik-ozellikli-rulo-etiket-pm-HB00000RZUEZ" TargetMode="External"/><Relationship Id="rId183" Type="http://schemas.openxmlformats.org/officeDocument/2006/relationships/hyperlink" Target="https://www.motorobit.com/xt90-disi-konnektor?srsltid=AfmBOopdI_tLkgNmjq7fViVSnvCDjtk-9fIZF23xPqbIz0akzHgzhBH9" TargetMode="External"/><Relationship Id="rId239" Type="http://schemas.openxmlformats.org/officeDocument/2006/relationships/hyperlink" Target="https://www.ozdisan.com/p/trimpot-potansiyometreler-396/bonens-3266w-1-103lf-bn-512599" TargetMode="External"/><Relationship Id="rId390" Type="http://schemas.openxmlformats.org/officeDocument/2006/relationships/hyperlink" Target="https://www.ozdisan.com/p/smt-smd-ve-cip-direncler-194/yageo-rc0805jr-0710kl-515420" TargetMode="External"/><Relationship Id="rId404" Type="http://schemas.openxmlformats.org/officeDocument/2006/relationships/hyperlink" Target="https://www.robotistan.com/4-pinli-push-buton-siyah-6x6x5mm" TargetMode="External"/><Relationship Id="rId446" Type="http://schemas.openxmlformats.org/officeDocument/2006/relationships/hyperlink" Target="https://www.motorobit.com/47k-14w-direnc-10-adet?srsltid=AfmBOopeMgel1DnoQ7hNtGRiADGMhk0vk7xf4mQhZDmzP4pZOzE5Y9MFCNI" TargetMode="External"/><Relationship Id="rId250" Type="http://schemas.openxmlformats.org/officeDocument/2006/relationships/hyperlink" Target="https://www.ozdisan.com/p/amplifikatorler-242/texas-lm358mx-nopb-731895" TargetMode="External"/><Relationship Id="rId292" Type="http://schemas.openxmlformats.org/officeDocument/2006/relationships/hyperlink" Target="https://kompozitpazari.com/urun/prepreg-laminasyon-spatulu-3lu-set-yarim-daire-tam-daire-dikdortgen/" TargetMode="External"/><Relationship Id="rId306" Type="http://schemas.openxmlformats.org/officeDocument/2006/relationships/hyperlink" Target="https://kompozitpazari.com/urun/ruifeng-fabric-karbon-elyaf-kumas-twill-1k-93-g-100-cm/" TargetMode="External"/><Relationship Id="rId45" Type="http://schemas.openxmlformats.org/officeDocument/2006/relationships/hyperlink" Target="https://www.motorobit.com/da806-500mm-3-pin-tirnakli-buat-klemens" TargetMode="External"/><Relationship Id="rId87" Type="http://schemas.openxmlformats.org/officeDocument/2006/relationships/hyperlink" Target="https://www.hepsiburada.com/sandisk-ultra-64gb-140mb-s-microsdxc-uhs-i-hafiza-karti-sdsquab-064g-gn6mn-pm-HBC000039VQE6" TargetMode="External"/><Relationship Id="rId110" Type="http://schemas.openxmlformats.org/officeDocument/2006/relationships/hyperlink" Target="https://www.robocombo.com/18650-2li-pil-yuvasi-kablolu-3353" TargetMode="External"/><Relationship Id="rId348" Type="http://schemas.openxmlformats.org/officeDocument/2006/relationships/hyperlink" Target="https://tr.farnell.com/texas-instruments/tca6416apwr/ic-i-o-expander-16bit-24tssop/dp/3009444" TargetMode="External"/><Relationship Id="rId152" Type="http://schemas.openxmlformats.org/officeDocument/2006/relationships/hyperlink" Target="https://www.ozdisan.com/p/smt-smd-ve-cip-direncler-194/yageo-rc0805jr-0710kl-515420" TargetMode="External"/><Relationship Id="rId194" Type="http://schemas.openxmlformats.org/officeDocument/2006/relationships/hyperlink" Target="https://www.robotistan.com/12mhz-smd-kristal-hc49smd" TargetMode="External"/><Relationship Id="rId208" Type="http://schemas.openxmlformats.org/officeDocument/2006/relationships/hyperlink" Target="https://www.ozdisan.com/p/smt-smd-ve-cip-direncler-194/royalohm-hp05w3f2001t5e-604220" TargetMode="External"/><Relationship Id="rId415" Type="http://schemas.openxmlformats.org/officeDocument/2006/relationships/hyperlink" Target="https://www.motorobit.com/acs712-20a-soic-8-smd-akim-sensoru-entegresi?srsltid=AfmBOooEd6zJSGj3WCSN5VqY-eVSgJudDKnWz_wgmAyBNNze0BC_LnsX" TargetMode="External"/><Relationship Id="rId457" Type="http://schemas.openxmlformats.org/officeDocument/2006/relationships/hyperlink" Target="https://www.robo90.com/ams1117-3-3v-voltaj-regulatoru-sot223-smd?srsltid=AfmBOopzKpz8pkFOvyH0ptK1xUsM1GxygFGtweaTQOkh2zMaP5fc-AMv3h8" TargetMode="External"/><Relationship Id="rId261" Type="http://schemas.openxmlformats.org/officeDocument/2006/relationships/hyperlink" Target="https://www.komponentci.net/max485esa-soic8-surucu-ve-transceiver-entegresi-pmu1499" TargetMode="External"/><Relationship Id="rId14" Type="http://schemas.openxmlformats.org/officeDocument/2006/relationships/hyperlink" Target="https://online.gunsanelectric.com/urun/gunsan-kirmizi-elektrik-izolasyon-bandi-10-adet" TargetMode="External"/><Relationship Id="rId56" Type="http://schemas.openxmlformats.org/officeDocument/2006/relationships/hyperlink" Target="https://www.motorobit.com/pbs26-16mm-push-buton-kirmizi-ic-180" TargetMode="External"/><Relationship Id="rId317" Type="http://schemas.openxmlformats.org/officeDocument/2006/relationships/hyperlink" Target="https://www.hepsiburada.com/9-pin-araba-soketi-p-HBCV0000681SC7?magaza=AYTTicarettt" TargetMode="External"/><Relationship Id="rId359" Type="http://schemas.openxmlformats.org/officeDocument/2006/relationships/hyperlink" Target="https://www.direnc.net/850mm-2x3-erkek-pin-header-254mm-90-derece" TargetMode="External"/><Relationship Id="rId98" Type="http://schemas.openxmlformats.org/officeDocument/2006/relationships/hyperlink" Target="https://www.robocombo.com/arduino-mega-2560-r3-klon-ch340-usb-cip-usb-kablo" TargetMode="External"/><Relationship Id="rId121" Type="http://schemas.openxmlformats.org/officeDocument/2006/relationships/hyperlink" Target="https://www.ozdisan.com/p/gecmeli-klemensler-411/degson-15edgk-3-81-02p-11-00ah-740958" TargetMode="External"/><Relationship Id="rId163" Type="http://schemas.openxmlformats.org/officeDocument/2006/relationships/hyperlink" Target="https://www.ulutaselektronik.com/urun/25-adet-10nf-100v-0805-10-x7r-smd-kondansator?srsltid=AfmBOoqhpz8FnNPFMF3iECOd2j8M29m3ynRWlHv2EBfT0ZJZcRz0MzvG" TargetMode="External"/><Relationship Id="rId219" Type="http://schemas.openxmlformats.org/officeDocument/2006/relationships/hyperlink" Target="https://www.ozdisan.com/p/smt-smd-ve-cip-direncler-194/royalohm-1206s4f220jt5e-35637" TargetMode="External"/><Relationship Id="rId370" Type="http://schemas.openxmlformats.org/officeDocument/2006/relationships/hyperlink" Target="https://www.ozdisan.com/p/transistor-ve-fotovoltaik-cikisli-optokuplorler-189/liteon-ltv-217-b-g-471315" TargetMode="External"/><Relationship Id="rId426" Type="http://schemas.openxmlformats.org/officeDocument/2006/relationships/hyperlink" Target="https://www.ersinelektronik.com/urun/sigorta-yuvasi-tk79-5x20mm-pcb-tipi-sigorta-yuvasi-fuse-holder" TargetMode="External"/><Relationship Id="rId230" Type="http://schemas.openxmlformats.org/officeDocument/2006/relationships/hyperlink" Target="https://www.ozdisan.com/p/smt-smd-ve-cip-direncler-194/royalohm-1206s4f6803t5e-335069" TargetMode="External"/><Relationship Id="rId25" Type="http://schemas.openxmlformats.org/officeDocument/2006/relationships/hyperlink" Target="https://www.koctas.com.tr/brio-lokma-adaptor-seti-6-parca/p/5000161759?srsltid=AfmBOop9TxjfPT0tkq0-kVHDoOy8IRL6Q5xy01JxJAosP2-bKZB610N6" TargetMode="External"/><Relationship Id="rId67" Type="http://schemas.openxmlformats.org/officeDocument/2006/relationships/hyperlink" Target="https://www.motorobit.com/pbs26-16mm-push-buton-sari-ic-180" TargetMode="External"/><Relationship Id="rId272" Type="http://schemas.openxmlformats.org/officeDocument/2006/relationships/hyperlink" Target="https://www.ulutaselektronik.com/urun/murs120t3g-u1d-smb-2-1a-200v-ultrafast-rectifier-diode?srsltid=AfmBOornI-X8y3IPcuo7by5vGMANQaWwFxXEO8sHzneEPhSIcCYrk4ev" TargetMode="External"/><Relationship Id="rId328" Type="http://schemas.openxmlformats.org/officeDocument/2006/relationships/hyperlink" Target="https://www.direnc.net/usb-rs232-cevirici-kablo--9pin-erkek" TargetMode="External"/><Relationship Id="rId132" Type="http://schemas.openxmlformats.org/officeDocument/2006/relationships/hyperlink" Target="https://www.ozdisan.com/p/genel-amacli-diyotlar-389/diodes-1n4148w-7-f-609850" TargetMode="External"/><Relationship Id="rId174" Type="http://schemas.openxmlformats.org/officeDocument/2006/relationships/hyperlink" Target="https://www.direnc.net/10uf-25v-10-x7r-1206-smd-kondansator" TargetMode="External"/><Relationship Id="rId381" Type="http://schemas.openxmlformats.org/officeDocument/2006/relationships/hyperlink" Target="https://www.e-komponent.com/0472192001-molex-card-connector-secure-digital-microsd?srsltid=AfmBOooyjXwP5m2hPN50qfNppZfurf-bS9ucqKgNmXhlrMkBSerQqFEP" TargetMode="External"/><Relationship Id="rId241" Type="http://schemas.openxmlformats.org/officeDocument/2006/relationships/hyperlink" Target="https://www.motorobit.com/3-pin-bariyer-klemens?srsltid=AfmBOoohdmk2iJwL28z2WAPtsVeEbhq5LEDqvG6vBQeVfrEGM1faqndO" TargetMode="External"/><Relationship Id="rId437" Type="http://schemas.openxmlformats.org/officeDocument/2006/relationships/hyperlink" Target="https://www.direnc.net/100uh-4a-bobin" TargetMode="External"/><Relationship Id="rId36" Type="http://schemas.openxmlformats.org/officeDocument/2006/relationships/hyperlink" Target="https://www.robocombo.com/200g-075mm-Lehim-Teli-60-Kalay-40-Kursun,PR-524.html" TargetMode="External"/><Relationship Id="rId283" Type="http://schemas.openxmlformats.org/officeDocument/2006/relationships/hyperlink" Target="https://www.ersinelektronik.com/urun/0r01-5w-5" TargetMode="External"/><Relationship Id="rId339" Type="http://schemas.openxmlformats.org/officeDocument/2006/relationships/hyperlink" Target="https://www.ozdisan.com/p/smt-smd-ve-mlcc-kapasitorler-184/yageo-ac0805kkx7r0bb104-750474" TargetMode="External"/><Relationship Id="rId78" Type="http://schemas.openxmlformats.org/officeDocument/2006/relationships/hyperlink" Target="https://www.elektrocelik.com/oznur-075mm-nyaf-kablo-mavi-100-metre-nyaf-kablo-oznur-elektrocelik" TargetMode="External"/><Relationship Id="rId101" Type="http://schemas.openxmlformats.org/officeDocument/2006/relationships/hyperlink" Target="https://www.robo90.com/neo-m8n-arduino-shield-mini-gps-modul?utm_medium=pm&amp;utm_source=google&amp;gad_source=4&amp;gad_campaignid=17335602156&amp;gclid=CjwKCAjwhqfPBhBWEiwAZo196pCsNo49Blw8OLIaHjcKY6ldeH5Pjg6u7O7zJUs2DN7G92wyAwGOWRoCXAkQAvD_BwE" TargetMode="External"/><Relationship Id="rId143" Type="http://schemas.openxmlformats.org/officeDocument/2006/relationships/hyperlink" Target="https://www.ozdisan.com/p/smt-smd-ve-cip-direncler-194/royalohm-0805s8f4991t5e-343186" TargetMode="External"/><Relationship Id="rId185" Type="http://schemas.openxmlformats.org/officeDocument/2006/relationships/hyperlink" Target="https://www.ulutaselektronik.com/urun/stm32f103c8t6-lqfp-48-mcu-mikrodenetleyici?srsltid=AfmBOorWGFdr_Y2kKj9HJF_-i3UHKX0sl_ysHYg9J_BRKdg5O3r1eFcM" TargetMode="External"/><Relationship Id="rId350" Type="http://schemas.openxmlformats.org/officeDocument/2006/relationships/hyperlink" Target="https://www.komponentci.net/2-pin-jst-ph-20-tunik-konnektor-erkek-90-pmu57061" TargetMode="External"/><Relationship Id="rId406" Type="http://schemas.openxmlformats.org/officeDocument/2006/relationships/hyperlink" Target="https://www.ulutaselektronik.com/urun/3528-smd-rgb-led?srsltid=AfmBOopQV9KMK1JnDR6Jj-J1sSVbf_2W4ZPThsJLhiPtLxFD1KRNx5VC" TargetMode="External"/><Relationship Id="rId9" Type="http://schemas.openxmlformats.org/officeDocument/2006/relationships/hyperlink" Target="https://www.hepsiburada.com/nistabolje-3-adet-36-mm-kagit-bant-maskeleme-bandi-boya-uygulamalari-icin-profesyonel-kalite-p-HBCV00004AEQLD?magaza=%C3%87ar%C5%9F%C4%B1%20%C4%B0ndirim" TargetMode="External"/><Relationship Id="rId210" Type="http://schemas.openxmlformats.org/officeDocument/2006/relationships/hyperlink" Target="https://www.ozdisan.com/p/voltaj-referans-entegreleri-287/texas-tl431aidbzr-341981" TargetMode="External"/><Relationship Id="rId392" Type="http://schemas.openxmlformats.org/officeDocument/2006/relationships/hyperlink" Target="https://www.ozdisan.com/p/smt-smd-ve-cip-direncler-194/yageo-rc0805jr-0722kl-535083" TargetMode="External"/><Relationship Id="rId448" Type="http://schemas.openxmlformats.org/officeDocument/2006/relationships/hyperlink" Target="https://www.ulutaselektronik.com/urun/g5v-1-dc12-12v-1a-6-pin-mini-omron-role?srsltid=AfmBOoplDYs3zv5HZ-7b9sqg9zrzHNIecyrwykdXnipIn-N2U7rOvDVN" TargetMode="External"/><Relationship Id="rId252" Type="http://schemas.openxmlformats.org/officeDocument/2006/relationships/hyperlink" Target="https://www.ozdisan.com/p/smt-smd-ve-cip-direncler-194/royalohm-0805s8j0000tde-352215" TargetMode="External"/><Relationship Id="rId294" Type="http://schemas.openxmlformats.org/officeDocument/2006/relationships/hyperlink" Target="https://www.sparco.com.tr/urun/sparco-new-2020-slalom---fia-onayli-yaris-ayakkabisi_12567.aspx?CatId=2030" TargetMode="External"/><Relationship Id="rId308" Type="http://schemas.openxmlformats.org/officeDocument/2006/relationships/hyperlink" Target="https://www.robotistan.com/ttl-rs485-seri-donusturucu-karti-max485" TargetMode="External"/><Relationship Id="rId47" Type="http://schemas.openxmlformats.org/officeDocument/2006/relationships/hyperlink" Target="https://www.direnc.net/16a-12v-led-on-off-su-gecirmez-switch-kirmizi" TargetMode="External"/><Relationship Id="rId89" Type="http://schemas.openxmlformats.org/officeDocument/2006/relationships/hyperlink" Target="https://www.robocombo.com/Mikro-SD-Kart-Modulu,PR-1191.html?srsltid=AfmBOooGcn7IyCuXmgE3x_B9s4vKR-9UMduFzWXiVz_WjHAUIqPQYou7Mgc" TargetMode="External"/><Relationship Id="rId112" Type="http://schemas.openxmlformats.org/officeDocument/2006/relationships/hyperlink" Target="https://www.ozdisan.com/p/mikroislemciler-218/atmel-microchip-atmega2560-16au-409525" TargetMode="External"/><Relationship Id="rId154" Type="http://schemas.openxmlformats.org/officeDocument/2006/relationships/hyperlink" Target="https://www.ozdisan.com/p/smt-smd-ve-cip-direncler-194/panasoniceurope-erj6enf1200v-614763" TargetMode="External"/><Relationship Id="rId361" Type="http://schemas.openxmlformats.org/officeDocument/2006/relationships/hyperlink" Target="https://www.ozdisan.com/p/smt-smd-ve-cip-direncler-194/royalohm-as1034k033jt4e-516540" TargetMode="External"/><Relationship Id="rId196" Type="http://schemas.openxmlformats.org/officeDocument/2006/relationships/hyperlink" Target="https://www.ozdisan.com/p/karkaslar-439/oem-ee1905-6-carcass-635609" TargetMode="External"/><Relationship Id="rId417" Type="http://schemas.openxmlformats.org/officeDocument/2006/relationships/hyperlink" Target="https://www.robolinkmarket.com/22nf-seramik-kondansator-paketi-10-adet?srsltid=AfmBOoqIPNTiaalLq_ttMqUTiqWm4M3GqqmMdFiT1gJAa1XyczqHF1TBNTY" TargetMode="External"/><Relationship Id="rId459" Type="http://schemas.openxmlformats.org/officeDocument/2006/relationships/hyperlink" Target="https://www.motorobit.com/680uf-16v-elektrolitik-kondansator-8x12mm?srsltid=AfmBOoqlMzZx6_TjpAT7BZpG0-1ZXw0mY8R80a1ETVql2nehiwbq3njSkwo" TargetMode="External"/><Relationship Id="rId16" Type="http://schemas.openxmlformats.org/officeDocument/2006/relationships/hyperlink" Target="https://online.gunsanelectric.com/urun/gunsan-sari-elektrik-izolasyon-bandi-10-adet" TargetMode="External"/><Relationship Id="rId221" Type="http://schemas.openxmlformats.org/officeDocument/2006/relationships/hyperlink" Target="https://www.ozdisan.com/p/genel-amacli-diyotlar-389/diodes-1n4148w-7-f-609850" TargetMode="External"/><Relationship Id="rId263" Type="http://schemas.openxmlformats.org/officeDocument/2006/relationships/hyperlink" Target="https://www.ozdisan.com/p/lineer-voltaj-regulatorleri-279/diodes-ap1117e33g-13-1211266" TargetMode="External"/><Relationship Id="rId319" Type="http://schemas.openxmlformats.org/officeDocument/2006/relationships/hyperlink" Target="https://www.soketsan.com.tr/furukawa-is-makine-soketi-beyaz-8-pin-kablolu-3818028-K?srsltid=AfmBOooR1QKhZxFLY2b91xzoZLRebsTiwAUYM3mg45NRjycld92diaefT6A" TargetMode="External"/><Relationship Id="rId58" Type="http://schemas.openxmlformats.org/officeDocument/2006/relationships/hyperlink" Target="https://www.motorobit.com/pbs26-16mm-push-buton-siyah-ic-180" TargetMode="External"/><Relationship Id="rId123" Type="http://schemas.openxmlformats.org/officeDocument/2006/relationships/hyperlink" Target="https://www.ozdisan.com/p/smt-smd-ve-mlcc-kapasitorler-184/samsung-cl21b104kbcnnnd-341874" TargetMode="External"/><Relationship Id="rId330" Type="http://schemas.openxmlformats.org/officeDocument/2006/relationships/hyperlink" Target="https://www.komponentci.net/100-parca-5x20mm-cam-sigorta-tup-sigorta-seti-plastik-kutulu-pmu6525" TargetMode="External"/><Relationship Id="rId165" Type="http://schemas.openxmlformats.org/officeDocument/2006/relationships/hyperlink" Target="https://www.ozdisan.com/p/smt-smd-ve-mlcc-kapasitorler-184/yageo-cc0805krx7r9bb104-497698" TargetMode="External"/><Relationship Id="rId372" Type="http://schemas.openxmlformats.org/officeDocument/2006/relationships/hyperlink" Target="https://www.direnc.net/1x4-disi-header" TargetMode="External"/><Relationship Id="rId428" Type="http://schemas.openxmlformats.org/officeDocument/2006/relationships/hyperlink" Target="https://www.robo90.com/4-pin-disi-header?srsltid=AfmBOor-0Rp5CeMtlwEdIuJNckv0PQxHtjJCsMBcwJ26W5xXTAtXJNKl" TargetMode="External"/><Relationship Id="rId232" Type="http://schemas.openxmlformats.org/officeDocument/2006/relationships/hyperlink" Target="https://www.ozdisan.com/p/smt-smd-ve-mlcc-kapasitorler-184/samsung-cl31b221kbcnnnc-523381" TargetMode="External"/><Relationship Id="rId274" Type="http://schemas.openxmlformats.org/officeDocument/2006/relationships/hyperlink" Target="https://karakoyelektronik.com/polyester/cbb22-105j450v-85212?srsltid=AfmBOop_h4uAScLaW2BWCiDCF4SzZyyqxz3FfnFJWXMIyf4NkdYWOHBB" TargetMode="External"/><Relationship Id="rId27" Type="http://schemas.openxmlformats.org/officeDocument/2006/relationships/hyperlink" Target="https://www.motorobit.com/100-parca-m3-siyah-plastik-aralayici-seti-standoff" TargetMode="External"/><Relationship Id="rId69" Type="http://schemas.openxmlformats.org/officeDocument/2006/relationships/hyperlink" Target="https://www.hepsiburada.com/teknoseli-lehimli-makaron-p-HBCV00001FCZ1R" TargetMode="External"/><Relationship Id="rId134" Type="http://schemas.openxmlformats.org/officeDocument/2006/relationships/hyperlink" Target="https://www.ozdisan.com/p/sinyal-ledler-tek-renkli-361/liteon-ltst-c170kgkt-26252?categoryName=sinyal-ledler-tek-renkli-361&amp;productSlug=liteon-ltst-c170kgkt-26252" TargetMode="External"/><Relationship Id="rId80" Type="http://schemas.openxmlformats.org/officeDocument/2006/relationships/hyperlink" Target="https://www.motorobit.com/anderson-konnektor-50a-600v?srsltid=AfmBOopASi6eGezg6oq8n0fpUPn-ZA4R12WOQdGeWhpHYCOVZAKM639w" TargetMode="External"/><Relationship Id="rId176" Type="http://schemas.openxmlformats.org/officeDocument/2006/relationships/hyperlink" Target="https://www.motorobit.com/isiya-dayanikli-kapton-bant-10mm-x-30m" TargetMode="External"/><Relationship Id="rId341" Type="http://schemas.openxmlformats.org/officeDocument/2006/relationships/hyperlink" Target="https://www.ozdisan.com/p/smt-smd-ve-mlcc-kapasitorler-184/yageo-ac0805kkx7r0bb104-750474" TargetMode="External"/><Relationship Id="rId383" Type="http://schemas.openxmlformats.org/officeDocument/2006/relationships/hyperlink" Target="https://www.e-komponent.com/ao3401a-alpha-omega-semiconductor-transistor-fet-mosfet-tekli?srsltid=AfmBOopjEiool37CN9g57SmyudOS3qFgm40ABiNnKV1QIbo2ln23ft3q" TargetMode="External"/><Relationship Id="rId439" Type="http://schemas.openxmlformats.org/officeDocument/2006/relationships/hyperlink" Target="https://www.direnc.net/16000mhz-kristal-hc-49s" TargetMode="External"/><Relationship Id="rId201" Type="http://schemas.openxmlformats.org/officeDocument/2006/relationships/hyperlink" Target="https://www.ozdisan.com/p/zener-diyotlar-390/panjit-mmsz5252b-r1-00001-563676" TargetMode="External"/><Relationship Id="rId243" Type="http://schemas.openxmlformats.org/officeDocument/2006/relationships/hyperlink" Target="https://www.ozdisan.com/p/smt-smd-ve-mlcc-kapasitorler-184/samsung-cl31a107mqhnnne-523291" TargetMode="External"/><Relationship Id="rId285" Type="http://schemas.openxmlformats.org/officeDocument/2006/relationships/hyperlink" Target="https://www.ozdisan.com/p/karkaslar-439/durga-pq3230ver-344752" TargetMode="External"/><Relationship Id="rId450" Type="http://schemas.openxmlformats.org/officeDocument/2006/relationships/hyperlink" Target="https://www.direnc.net/lm2596s-50nopb-5v-3a-smd-voltaj-regulatoru?language=tr&amp;h=23414cc4&amp;srsltid=AfmBOoqLbPhlv9suEtYcf3lzHNkzihpgNQrcesGeB07ohBbyOCknDLDiR40" TargetMode="External"/><Relationship Id="rId38" Type="http://schemas.openxmlformats.org/officeDocument/2006/relationships/hyperlink" Target="https://www.motorobit.com/m3-6mm-plastik-disi-erkek-aralayici-standoff" TargetMode="External"/><Relationship Id="rId103" Type="http://schemas.openxmlformats.org/officeDocument/2006/relationships/hyperlink" Target="https://www.robotistan.com/lte-g-821-harici-gsm-anten-6568" TargetMode="External"/><Relationship Id="rId310" Type="http://schemas.openxmlformats.org/officeDocument/2006/relationships/hyperlink" Target="https://www.robotistan.com/kurtel-kulce-lehim-multipure-vacuum-bar-63-37?language=tr&amp;h=0e3159de" TargetMode="External"/><Relationship Id="rId91" Type="http://schemas.openxmlformats.org/officeDocument/2006/relationships/hyperlink" Target="https://www.robocombo.com/200g-120mm-lehim-teli-60-kalay-40-kursun" TargetMode="External"/><Relationship Id="rId145" Type="http://schemas.openxmlformats.org/officeDocument/2006/relationships/hyperlink" Target="https://www.ozdisan.com/p/smt-smd-ve-cip-direncler-194/yageo-rc0805jr-07100rl-618202" TargetMode="External"/><Relationship Id="rId187" Type="http://schemas.openxmlformats.org/officeDocument/2006/relationships/hyperlink" Target="https://www.ozdisan.com/p/smt-smd-ve-mlcc-kapasitorler-184/samsung-cl21b202kbannnc-522845" TargetMode="External"/><Relationship Id="rId352" Type="http://schemas.openxmlformats.org/officeDocument/2006/relationships/hyperlink" Target="https://www.ozdisan.com/p/smt-smd-ve-mlcc-kapasitorler-184/yageo-cc0805kkx7r9bb105-750129" TargetMode="External"/><Relationship Id="rId394" Type="http://schemas.openxmlformats.org/officeDocument/2006/relationships/hyperlink" Target="https://www.ozdisan.com/p/transistor-ve-fotovoltaik-cikisli-optokuplorler-189/liteon-ltv-217-b-g-471315" TargetMode="External"/><Relationship Id="rId408" Type="http://schemas.openxmlformats.org/officeDocument/2006/relationships/hyperlink" Target="https://www.direnc.net/mp1584en-3a-dc-dc-mini-voltaj-dusurucu-modul" TargetMode="External"/><Relationship Id="rId212" Type="http://schemas.openxmlformats.org/officeDocument/2006/relationships/hyperlink" Target="https://www.ozdisan.com/p/zener-diyotlar-390/panjit-1sma4744-r1-00001-409669" TargetMode="External"/><Relationship Id="rId254" Type="http://schemas.openxmlformats.org/officeDocument/2006/relationships/hyperlink" Target="https://www.ozdisan.com/p/smt-smd-ve-cip-direncler-194/royalohm-as05w2j0121t5e-745552" TargetMode="External"/><Relationship Id="rId49" Type="http://schemas.openxmlformats.org/officeDocument/2006/relationships/hyperlink" Target="https://www.motorobit.com/kcd1-b1-onoff-anahtar" TargetMode="External"/><Relationship Id="rId114" Type="http://schemas.openxmlformats.org/officeDocument/2006/relationships/hyperlink" Target="https://www.ozdisan.com/p/smt-smd-ve-cip-direncler-194/royalohm-1206s4f100jt5e-40354" TargetMode="External"/><Relationship Id="rId296" Type="http://schemas.openxmlformats.org/officeDocument/2006/relationships/hyperlink" Target="https://www.robotistan.com/60v-programlanabilir-dc-guc-kaynagi?language=tr&amp;h=640bf292" TargetMode="External"/><Relationship Id="rId461" Type="http://schemas.openxmlformats.org/officeDocument/2006/relationships/hyperlink" Target="https://www.direnc.net/10k-14w-direnc?language=tr&amp;h=daaaeb17&amp;srsltid=AfmBOooer_yn8QhxqH5GaP_8DxTrwTitaHeuT13nFgSQSRmc4_sMaZCgz60" TargetMode="External"/><Relationship Id="rId60" Type="http://schemas.openxmlformats.org/officeDocument/2006/relationships/hyperlink" Target="https://www.robocombo.com/kcd2-onoff-rocker-anahtar-kirmizi-isikli-4-pin--2857?srsltid=AfmBOoqKQf75HOD44rzYKpR0_w-cB1gBIYcmEkGPyIKwAkqv1PqabFPo" TargetMode="External"/><Relationship Id="rId156" Type="http://schemas.openxmlformats.org/officeDocument/2006/relationships/hyperlink" Target="https://www.ozdisan.com/p/tact-sivicler-485/e-switch-tl1015af160qg-611955" TargetMode="External"/><Relationship Id="rId198" Type="http://schemas.openxmlformats.org/officeDocument/2006/relationships/hyperlink" Target="https://www.ozdisan.com/p/smt-smd-ve-mlcc-kapasitorler-184/kemet-c1210c104kbracauto-627400" TargetMode="External"/><Relationship Id="rId321" Type="http://schemas.openxmlformats.org/officeDocument/2006/relationships/hyperlink" Target="https://www.motorobit.com/5v-10a-role-5-pin?gad_source=4&amp;gad_campaignid=22129721965&amp;gbraid=0AAAAADCrc1Jos4SwZ1P1Frwy46IdWb44H&amp;gclid=CjwKCAjwzLHPBhBTEiwABaLsSneKdI86qNOc5be0uKwfyglry0S3M7ndGhsEiJeApTguyfWNSSwqDhoCisgQAvD_BwE" TargetMode="External"/><Relationship Id="rId363" Type="http://schemas.openxmlformats.org/officeDocument/2006/relationships/hyperlink" Target="https://www.ozdisan.com/p/smt-smd-ve-cip-direncler-194/royalohm-tc0525b5100t5g-571166" TargetMode="External"/><Relationship Id="rId419" Type="http://schemas.openxmlformats.org/officeDocument/2006/relationships/hyperlink" Target="https://www.direnc.net/1nf-1000v-5-mercimek-kondansator-95mm?language=tr&amp;h=9782f819&amp;srsltid=AfmBOoo7PIwkNy0Nsc_6OmttfhBRb6m1t_pGv-xXooSgJ1KxdfKzQfFEoAQ" TargetMode="External"/><Relationship Id="rId223" Type="http://schemas.openxmlformats.org/officeDocument/2006/relationships/hyperlink" Target="https://www.ozdisan.com/p/smt-smd-ve-cip-direncler-194/viking-crt05f7e1203-1202378" TargetMode="External"/><Relationship Id="rId430" Type="http://schemas.openxmlformats.org/officeDocument/2006/relationships/hyperlink" Target="https://www.ozdisan.com/p/disi-headerlar-294/kls-electronic-kls1-208-1-07-s-482422" TargetMode="External"/><Relationship Id="rId18" Type="http://schemas.openxmlformats.org/officeDocument/2006/relationships/hyperlink" Target="https://www.hepsiburada.com/vodaseal-duct-tape-tamir-bandi-50mm-x-25m-beyaz-pm-HB00000DQITJ" TargetMode="External"/><Relationship Id="rId265" Type="http://schemas.openxmlformats.org/officeDocument/2006/relationships/hyperlink" Target="https://www.ozdisan.com/p/smt-smd-ve-mlcc-kapasitorler-184/samsung-cl21b471kbannnc-10430" TargetMode="External"/><Relationship Id="rId125" Type="http://schemas.openxmlformats.org/officeDocument/2006/relationships/hyperlink" Target="https://karakoyelektronik.com/acdc-cevirici-offline-switch/fsbh0170any-87186" TargetMode="External"/><Relationship Id="rId167" Type="http://schemas.openxmlformats.org/officeDocument/2006/relationships/hyperlink" Target="https://www.ozdisan.com/p/aluminyum-kapasitorler-180/koshin-pkr1-025v101me110-t2-5-36545" TargetMode="External"/><Relationship Id="rId332" Type="http://schemas.openxmlformats.org/officeDocument/2006/relationships/hyperlink" Target="https://www.motorobit.com/2x40-male-header-80-pin-180-degree?srsltid=AfmBOopk6U_4xdM2Qwn9AxWNksGOBE8F6e1yS_vZxX9NRr6XghPLwJYV" TargetMode="External"/><Relationship Id="rId374" Type="http://schemas.openxmlformats.org/officeDocument/2006/relationships/hyperlink" Target="https://www.ersinelektronik.com/urun/22uf-6-3v-tantal-kondansator-smd-a" TargetMode="External"/><Relationship Id="rId71" Type="http://schemas.openxmlformats.org/officeDocument/2006/relationships/hyperlink" Target="https://www.hepsiburada.com/digielektro-kablosuz-timsah-agzi-krokodil-buyuk-boy-krokodil-masa-10-adet-pm-HBC000007RUF8" TargetMode="External"/><Relationship Id="rId234" Type="http://schemas.openxmlformats.org/officeDocument/2006/relationships/hyperlink" Target="https://www.ozdisan.com/p/smt-smd-ve-cip-direncler-194/royalohm-1206s4f300jt5e-453067" TargetMode="External"/><Relationship Id="rId2" Type="http://schemas.openxmlformats.org/officeDocument/2006/relationships/hyperlink" Target="https://www.hepsiburada.com/coofbe-5-renk-25-metre-cirt-cirt-bantli-kablo-sarici-duzenleyici-organizator-kablo-duzenleme-pm-HBC00008PYSJ0" TargetMode="External"/><Relationship Id="rId29" Type="http://schemas.openxmlformats.org/officeDocument/2006/relationships/hyperlink" Target="https://www.hepsiburada.com/beybi-nitril-sari-is-eldiveni-no-10-12-li-paket-p-HBCV000070AN62?magaza=&#304;STO&#199;%20GIDA%20HIRDAVAT%20KOZMET&#304;K" TargetMode="External"/><Relationship Id="rId276" Type="http://schemas.openxmlformats.org/officeDocument/2006/relationships/hyperlink" Target="https://www.ulutaselektronik.com/urun/10-adet-10r-1-2w-metal-film-direnc?srsltid=AfmBOoqg1fL_nLTninYkIDZjSLyqofWLz21yY2KsJrrrSKuhSfPjkOIX" TargetMode="External"/><Relationship Id="rId441" Type="http://schemas.openxmlformats.org/officeDocument/2006/relationships/hyperlink" Target="https://www.direnc.net/bd139-transistor-bjt-npn-to-26" TargetMode="External"/><Relationship Id="rId40" Type="http://schemas.openxmlformats.org/officeDocument/2006/relationships/hyperlink" Target="https://www.hepsiburada.com/robo-dunya-8-li-kablodan-kabloya-klemens-5-08-pm-HBC00006X2ABB" TargetMode="External"/><Relationship Id="rId136" Type="http://schemas.openxmlformats.org/officeDocument/2006/relationships/hyperlink" Target="https://www.ozdisan.com/p/disi-headerlar-294/connfly-ds1002-01-1x2v13-349077" TargetMode="External"/><Relationship Id="rId178" Type="http://schemas.openxmlformats.org/officeDocument/2006/relationships/hyperlink" Target="https://www.ozdisan.com/p/schottky-diyotlar-385/panjit-mbr60200pt-t0-00001-509124" TargetMode="External"/><Relationship Id="rId301" Type="http://schemas.openxmlformats.org/officeDocument/2006/relationships/hyperlink" Target="https://kompozitpazari.com/urun/model-macunu/" TargetMode="External"/><Relationship Id="rId343" Type="http://schemas.openxmlformats.org/officeDocument/2006/relationships/hyperlink" Target="https://karakoyelektronik.com/0805-smd-direnc/1m0-0805-80498?srsltid=AfmBOoq2TbOGuF9ZuRvYPCOkBm6Wd8Yi7z0_08MSchrXhwUMbPIg8SA1" TargetMode="External"/><Relationship Id="rId61" Type="http://schemas.openxmlformats.org/officeDocument/2006/relationships/hyperlink" Target="https://www.komponentci.net/kcd4-yesil-isikli-on-off-anahtar-4-pin-pmu58203" TargetMode="External"/><Relationship Id="rId82" Type="http://schemas.openxmlformats.org/officeDocument/2006/relationships/hyperlink" Target="https://www.motorobit.com/ve-1008-10-adet-kirmizi-izoleli-tek-girisli-yuksuk" TargetMode="External"/><Relationship Id="rId199" Type="http://schemas.openxmlformats.org/officeDocument/2006/relationships/hyperlink" Target="https://www.ozdisan.com/p/smt-smd-ve-mlcc-kapasitorler-184/yageo-cc0805kkx7r0bb224-617904" TargetMode="External"/><Relationship Id="rId203" Type="http://schemas.openxmlformats.org/officeDocument/2006/relationships/hyperlink" Target="https://www.ozdisan.com/p/smt-smd-ve-cip-direncler-194/royalohm-hp05w3j0103t5e-604332" TargetMode="External"/><Relationship Id="rId385" Type="http://schemas.openxmlformats.org/officeDocument/2006/relationships/hyperlink" Target="https://www.ozdisan.com/p/smt-smd-ve-cip-direncler-194/viking-crt05j7e2201-1054404" TargetMode="External"/><Relationship Id="rId19" Type="http://schemas.openxmlformats.org/officeDocument/2006/relationships/hyperlink" Target="https://www.hepsiburada.com/bant-dunyasi-duct-tape-siyah-tamir-bandi-96-mm-x-10-m-pm-HB00000TRP6M" TargetMode="External"/><Relationship Id="rId224" Type="http://schemas.openxmlformats.org/officeDocument/2006/relationships/hyperlink" Target="https://www.ozdisan.com/p/smt-smd-ve-cip-direncler-194/royalohm-0805s8j0433t5e-36003" TargetMode="External"/><Relationship Id="rId245" Type="http://schemas.openxmlformats.org/officeDocument/2006/relationships/hyperlink" Target="https://www.ozdisan.com/p/smt-smd-ve-mlcc-kapasitorler-184/murata-gcm21bc72a105ke36l-627395" TargetMode="External"/><Relationship Id="rId266" Type="http://schemas.openxmlformats.org/officeDocument/2006/relationships/hyperlink" Target="https://karakoyelektronik.com/0805-smd-direnc/150k-0805-80481?srsltid=AfmBOoqumWp-NSkq7qFSCvydAe1Bt--jWuwQzLh_SmN1jv8az1Q6hLMA" TargetMode="External"/><Relationship Id="rId287" Type="http://schemas.openxmlformats.org/officeDocument/2006/relationships/hyperlink" Target="https://www.ozdisan.com/p/genel-tip-trafolar-471/ventech-022080-464590" TargetMode="External"/><Relationship Id="rId410" Type="http://schemas.openxmlformats.org/officeDocument/2006/relationships/hyperlink" Target="https://www.direnc.net/1x40-12mm-erkek-header-1" TargetMode="External"/><Relationship Id="rId431" Type="http://schemas.openxmlformats.org/officeDocument/2006/relationships/hyperlink" Target="https://www.direnc.net/1x40-uzun-bacakli-disi-header" TargetMode="External"/><Relationship Id="rId452" Type="http://schemas.openxmlformats.org/officeDocument/2006/relationships/hyperlink" Target="https://www.direnc.net/mcp2515-stand-alone-can-controller-with-spi-interface" TargetMode="External"/><Relationship Id="rId30" Type="http://schemas.openxmlformats.org/officeDocument/2006/relationships/hyperlink" Target="https://www.hepsiburada.com/atlas-siyah-su-zimpara-seti-6-li-80-100-120-150-180-220-kum-pm-HBC0000162YTA" TargetMode="External"/><Relationship Id="rId105" Type="http://schemas.openxmlformats.org/officeDocument/2006/relationships/hyperlink" Target="https://www.direnc.net/xl4005-5-32v-125-32v-dc-dc-konvertor" TargetMode="External"/><Relationship Id="rId126" Type="http://schemas.openxmlformats.org/officeDocument/2006/relationships/hyperlink" Target="https://www.ozdisan.com/p/smt-smd-ve-cip-direncler-194/royalohm-0805s8j0150t5e-340449" TargetMode="External"/><Relationship Id="rId147" Type="http://schemas.openxmlformats.org/officeDocument/2006/relationships/hyperlink" Target="https://www.ozdisan.com/p/smt-smd-ve-cip-direncler-194/yageo-rc0805jr-0747kl-837264" TargetMode="External"/><Relationship Id="rId168" Type="http://schemas.openxmlformats.org/officeDocument/2006/relationships/hyperlink" Target="https://www.ozdisan.com/p/smt-smd-ve-mlcc-kapasitorler-184/yageo-cc0805kkx7rbbb103-750339" TargetMode="External"/><Relationship Id="rId312" Type="http://schemas.openxmlformats.org/officeDocument/2006/relationships/hyperlink" Target="https://www.komponentci.net/sim800l-mini-gsm-gprs-modulu-imei-kayitli-pmu3435" TargetMode="External"/><Relationship Id="rId333" Type="http://schemas.openxmlformats.org/officeDocument/2006/relationships/hyperlink" Target="https://www.ersinelektronik.com/urun/2x40-180deg-12mm-disi-pin-header-2-54mm" TargetMode="External"/><Relationship Id="rId354" Type="http://schemas.openxmlformats.org/officeDocument/2006/relationships/hyperlink" Target="https://www.ozdisan.com/p/sinyal-ledler-tek-renkli-361/honglitronic-hl-psc-2012h203bc-471652" TargetMode="External"/><Relationship Id="rId51" Type="http://schemas.openxmlformats.org/officeDocument/2006/relationships/hyperlink" Target="https://www.direnc.net/dc151-on-off-toggle" TargetMode="External"/><Relationship Id="rId72" Type="http://schemas.openxmlformats.org/officeDocument/2006/relationships/hyperlink" Target="https://www.direnc.net/40-adet-erkek-erkek-jumper-20cm" TargetMode="External"/><Relationship Id="rId93" Type="http://schemas.openxmlformats.org/officeDocument/2006/relationships/hyperlink" Target="https://www.robocombo.com/sicak-hava-uflemeli-havya-istasyounu-mercek-ve-seh-4425" TargetMode="External"/><Relationship Id="rId189" Type="http://schemas.openxmlformats.org/officeDocument/2006/relationships/hyperlink" Target="https://www.e-komponent.com/current-sensor-acs758lcb-100b-pff-t?srsltid=AfmBOoqS4O_pOsAeRHNADKKaiEQIOMkPPkduh6IX34tcyOQbpvy0rOUI" TargetMode="External"/><Relationship Id="rId375" Type="http://schemas.openxmlformats.org/officeDocument/2006/relationships/hyperlink" Target="https://www.ozdisan.com/p/smt-smd-ve-mlcc-kapasitorler-184/kingtronics-lkt1206x226m350r-610126" TargetMode="External"/><Relationship Id="rId396" Type="http://schemas.openxmlformats.org/officeDocument/2006/relationships/hyperlink" Target="https://www.robotistan.com/ams1117-33-sot23" TargetMode="External"/><Relationship Id="rId3" Type="http://schemas.openxmlformats.org/officeDocument/2006/relationships/hyperlink" Target="https://www.hepsiburada.com/jetfast-60-adet-kablo-duzenleyici-sabitleyici-duvar-fayans-masa-kablo-tutucu-yapiskanli-kablo-kanali-klips-p-HBCV0000879MNZ" TargetMode="External"/><Relationship Id="rId214" Type="http://schemas.openxmlformats.org/officeDocument/2006/relationships/hyperlink" Target="https://www.ozdisan.com/p/smt-smd-ve-mlcc-kapasitorler-184/murata-grm21br6ya106me43l-518033" TargetMode="External"/><Relationship Id="rId235" Type="http://schemas.openxmlformats.org/officeDocument/2006/relationships/hyperlink" Target="https://www.ozdisan.com/p/smt-smd-ve-cip-direncler-194/panasoniceurope-erj8enf1001v-623005" TargetMode="External"/><Relationship Id="rId256" Type="http://schemas.openxmlformats.org/officeDocument/2006/relationships/hyperlink" Target="https://www.direnc.net/3-pin-381mm-90-gecmeli-takim-klemens" TargetMode="External"/><Relationship Id="rId277" Type="http://schemas.openxmlformats.org/officeDocument/2006/relationships/hyperlink" Target="https://www.direnc.net/100uf-100v-kondansator-10x17mm" TargetMode="External"/><Relationship Id="rId298" Type="http://schemas.openxmlformats.org/officeDocument/2006/relationships/hyperlink" Target="https://kompozitpazari.com/urun/m048-pvc-kopuk/" TargetMode="External"/><Relationship Id="rId400" Type="http://schemas.openxmlformats.org/officeDocument/2006/relationships/hyperlink" Target="https://www.motorobit.com/kf128v-3p-5mm-3-pin-terminal-klemens" TargetMode="External"/><Relationship Id="rId421" Type="http://schemas.openxmlformats.org/officeDocument/2006/relationships/hyperlink" Target="https://www.robotistan.com/25v-10-uf-kondansator-paketi-10-adet?language=tr&amp;h=38a5bb64" TargetMode="External"/><Relationship Id="rId442" Type="http://schemas.openxmlformats.org/officeDocument/2006/relationships/hyperlink" Target="https://www.motorobit.com/1k-1w-direnc-10-adet?srsltid=AfmBOorN6jc9SoM1t-XI-GdbvUW6MOyHTD7kp3U3bD5wqMZJ3jx2KONN_ZI" TargetMode="External"/><Relationship Id="rId463" Type="http://schemas.openxmlformats.org/officeDocument/2006/relationships/hyperlink" Target="https://www.motorobit.com/1k-100w-aluminyum-direnc?srsltid=AfmBOoomonFOk2uf0i3fN7Q0gxZrnM0Q2qWk0XLM2_KQtzAy5XB9KPiI" TargetMode="External"/><Relationship Id="rId116" Type="http://schemas.openxmlformats.org/officeDocument/2006/relationships/hyperlink" Target="https://teknoresin.com/" TargetMode="External"/><Relationship Id="rId137" Type="http://schemas.openxmlformats.org/officeDocument/2006/relationships/hyperlink" Target="https://www.ozdisan.com/p/sabit-induktorler-468/oem-ys54-331m-535442" TargetMode="External"/><Relationship Id="rId158" Type="http://schemas.openxmlformats.org/officeDocument/2006/relationships/hyperlink" Target="https://www.ozdisan.com/p/genel-tip-trafolar-471/ventech-022080-464590" TargetMode="External"/><Relationship Id="rId302" Type="http://schemas.openxmlformats.org/officeDocument/2006/relationships/hyperlink" Target="https://kompozitpazari.com/urun/egecat-kobaltokt-6/" TargetMode="External"/><Relationship Id="rId323" Type="http://schemas.openxmlformats.org/officeDocument/2006/relationships/hyperlink" Target="https://www.robo90.com/12v-role-5-pin-250vac-10a?srsltid=AfmBOoorukQYbEnLa2eNkOQQ4WYclhdO1Si4m4DCbGF_cj7tY5qJSPtvUBM" TargetMode="External"/><Relationship Id="rId344" Type="http://schemas.openxmlformats.org/officeDocument/2006/relationships/hyperlink" Target="https://www.ozdisan.com/p/akim-yonetimi-entegreleri-273/texas-ina229aidgsr-1050886?srsltid=AfmBOoqcgNIHgM6QqtpI8Yp0po7AmMOB2cHjRDTTVADSZi8dDXfd_VQR" TargetMode="External"/><Relationship Id="rId20" Type="http://schemas.openxmlformats.org/officeDocument/2006/relationships/hyperlink" Target="https://www.hepsiburada.com/luxor-kimya-99-saf-aseton-5-lt-pm-HBC0000246HIQ" TargetMode="External"/><Relationship Id="rId41" Type="http://schemas.openxmlformats.org/officeDocument/2006/relationships/hyperlink" Target="https://www.hepsiburada.com/koodmax-5-takim-4mm-orta-boy-born-klemens-5-kirmizi-5-siyah-pm-HBC00006U99A5" TargetMode="External"/><Relationship Id="rId62" Type="http://schemas.openxmlformats.org/officeDocument/2006/relationships/hyperlink" Target="https://www.motorobit.com/22m-q1-22mm-metal-acil-stop-butonu-2no2nc" TargetMode="External"/><Relationship Id="rId83" Type="http://schemas.openxmlformats.org/officeDocument/2006/relationships/hyperlink" Target="https://www.motorobit.com/ve-1508-10-adet-siyah-izoleli-tek-girisli-yuksuk" TargetMode="External"/><Relationship Id="rId179" Type="http://schemas.openxmlformats.org/officeDocument/2006/relationships/hyperlink" Target="https://www.robotistan.com/arduino-uno-r3-klon-usb-kablo-hediyeli-usb-chip-ch340" TargetMode="External"/><Relationship Id="rId365" Type="http://schemas.openxmlformats.org/officeDocument/2006/relationships/hyperlink" Target="https://www.ozdisan.com/p/smt-smd-ve-cip-direncler-194/viking-crt05j7e2201-1054404" TargetMode="External"/><Relationship Id="rId386" Type="http://schemas.openxmlformats.org/officeDocument/2006/relationships/hyperlink" Target="https://www.ozdisan.com/p/smt-smd-ve-cip-direncler-194/royalohm-0805s8j0181t5e-335052" TargetMode="External"/><Relationship Id="rId190" Type="http://schemas.openxmlformats.org/officeDocument/2006/relationships/hyperlink" Target="https://www.motorobit.com/uu105-04mm-20mh-choke-bobin?srsltid=AfmBOooN_rRCVhv5RGr_8r0sIBsCIwNwfcrqk-wzxSU_aY60aK4RddYO" TargetMode="External"/><Relationship Id="rId204" Type="http://schemas.openxmlformats.org/officeDocument/2006/relationships/hyperlink" Target="https://www.ozdisan.com/p/smt-smd-ve-mlcc-kapasitorler-184/samsung-cl21b104kcfnnne-470410" TargetMode="External"/><Relationship Id="rId225" Type="http://schemas.openxmlformats.org/officeDocument/2006/relationships/hyperlink" Target="https://www.ozdisan.com/p/smt-smd-ve-cip-direncler-194/royalohm-0805s8j0913t5e-343212" TargetMode="External"/><Relationship Id="rId246" Type="http://schemas.openxmlformats.org/officeDocument/2006/relationships/hyperlink" Target="https://www.ozdisan.com/p/smt-smd-ve-mlcc-kapasitorler-184/samsung-cl21y105kcfvpje-634349" TargetMode="External"/><Relationship Id="rId267" Type="http://schemas.openxmlformats.org/officeDocument/2006/relationships/hyperlink" Target="https://karakoyelektronik.com/transistor/bcx53-16-80809?srsltid=AfmBOoroQyFDEGKY2pzjBfNm1P7az0d31h8NR4TWNZeC9-5psAiSWs2l" TargetMode="External"/><Relationship Id="rId288" Type="http://schemas.openxmlformats.org/officeDocument/2006/relationships/hyperlink" Target="https://www.robotistan.com/12-mhz-kristal" TargetMode="External"/><Relationship Id="rId411" Type="http://schemas.openxmlformats.org/officeDocument/2006/relationships/hyperlink" Target="https://www.robotistan.com/100nf-seramik-kondansator-paketi-10-adet" TargetMode="External"/><Relationship Id="rId432" Type="http://schemas.openxmlformats.org/officeDocument/2006/relationships/hyperlink" Target="https://www.direnc.net/2-pin-381mm-90-gecmeli-takim-klemens-12403?language=tr&amp;h=0368915a&amp;utm_source=google&amp;utm_medium=cpc&amp;utm_campaign=0200-pmax-beta&amp;gad_source=4&amp;gad_campaignid=20399507008&amp;gbraid=0AAAAAD2u3wra5ZYyKT5LFolybSIhf8ndc&amp;gclid=CjwKCAjw8arQBhB9EiwAfIKdQkGkMLjhGT_00Gh3Npb0zmDAusMtHU2wHnVns3-PQmPXVvT_A61ShRoCUQEQAvD_BwE" TargetMode="External"/><Relationship Id="rId453" Type="http://schemas.openxmlformats.org/officeDocument/2006/relationships/hyperlink" Target="https://www.direnc.net/tja1050t/cm-75ma-smd-yuksek-can-bus-entegresi-soic8" TargetMode="External"/><Relationship Id="rId106" Type="http://schemas.openxmlformats.org/officeDocument/2006/relationships/hyperlink" Target="https://www.robocombo.com/ch340-usb-to-ttl-donusturucu-modul" TargetMode="External"/><Relationship Id="rId127" Type="http://schemas.openxmlformats.org/officeDocument/2006/relationships/hyperlink" Target="https://www.ozdisan.com/p/smt-smd-ve-mlcc-kapasitorler-184/samsung-cl21b105kofnnne-29632" TargetMode="External"/><Relationship Id="rId313" Type="http://schemas.openxmlformats.org/officeDocument/2006/relationships/hyperlink" Target="https://www.hepsiburada.com/porima-abs-filament-1-75mm-siyah-ral9005-1kg-pm-HBC000037VTKR" TargetMode="External"/><Relationship Id="rId10" Type="http://schemas.openxmlformats.org/officeDocument/2006/relationships/hyperlink" Target="https://online.gunsanelectric.com/urun/gunsan-siyah-elektrik-izolasyon-bandi-10-adet" TargetMode="External"/><Relationship Id="rId31" Type="http://schemas.openxmlformats.org/officeDocument/2006/relationships/hyperlink" Target="https://www.direnc.net/fnirsi-hs-02a-100w-akilli-kalem-havya-set-1" TargetMode="External"/><Relationship Id="rId52" Type="http://schemas.openxmlformats.org/officeDocument/2006/relationships/hyperlink" Target="https://www.motorobit.com/kcd1-siyah-kirmizi-isikli-onoff-anahtar-3-pin" TargetMode="External"/><Relationship Id="rId73" Type="http://schemas.openxmlformats.org/officeDocument/2006/relationships/hyperlink" Target="https://www.direnc.net/40-adet-disi-erkek-jumper-20cm-1" TargetMode="External"/><Relationship Id="rId94" Type="http://schemas.openxmlformats.org/officeDocument/2006/relationships/hyperlink" Target="https://www.direnc.net/proskit-ms-121-vakumlu-tutucu" TargetMode="External"/><Relationship Id="rId148" Type="http://schemas.openxmlformats.org/officeDocument/2006/relationships/hyperlink" Target="https://www.ozdisan.com/p/smt-smd-ve-cip-direncler-194/royalohm-as122wk0100t4e-995132" TargetMode="External"/><Relationship Id="rId169" Type="http://schemas.openxmlformats.org/officeDocument/2006/relationships/hyperlink" Target="https://www.ozdisan.com/p/smt-smd-ve-mlcc-kapasitorler-184/samsung-cl21b105kofvpne-522816" TargetMode="External"/><Relationship Id="rId334" Type="http://schemas.openxmlformats.org/officeDocument/2006/relationships/hyperlink" Target="https://www.ozdisan.com/p/smt-smd-ve-mlcc-kapasitorler-184/samsung-cl21c220jbannnc-5638" TargetMode="External"/><Relationship Id="rId355" Type="http://schemas.openxmlformats.org/officeDocument/2006/relationships/hyperlink" Target="https://www.ozdisan.com/p/sinyal-ledler-tek-renkli-361/honglitronic-hl-psc-2012s9ac-471650" TargetMode="External"/><Relationship Id="rId376" Type="http://schemas.openxmlformats.org/officeDocument/2006/relationships/hyperlink" Target="https://www.ozdisan.com/p/aydinlatma-ledleri-cok-renkli-366/honglitronic-hlaf5060h248bs36fu76gcs1-437264" TargetMode="External"/><Relationship Id="rId397" Type="http://schemas.openxmlformats.org/officeDocument/2006/relationships/hyperlink" Target="https://www.ulutaselektronik.com/urun/sn65hvd1050dr-vp1050-soic-8-can-interface-ic?srsltid=AfmBOooiWuOzbNybWfI1RdyCFyvZK7hUTCvtyo0y775cO4WEccp2SWlr" TargetMode="External"/><Relationship Id="rId4" Type="http://schemas.openxmlformats.org/officeDocument/2006/relationships/hyperlink" Target="https://www.hepsiburada.com/3m-1900-tamir-bandi-duct-tape-3900-50mmx50mt-gri-pm-HB0000018YLI" TargetMode="External"/><Relationship Id="rId180" Type="http://schemas.openxmlformats.org/officeDocument/2006/relationships/hyperlink" Target="https://www.direnc.net/ams1117-smd-3v3-dogrusal-voltaj-regulatoru" TargetMode="External"/><Relationship Id="rId215" Type="http://schemas.openxmlformats.org/officeDocument/2006/relationships/hyperlink" Target="https://www.ozdisan.com/p/smt-smd-ve-cip-direncler-194/royalohm-1206s4f1803t5e-40356" TargetMode="External"/><Relationship Id="rId236" Type="http://schemas.openxmlformats.org/officeDocument/2006/relationships/hyperlink" Target="https://www.ozdisan.com/p/sinyal-ledler-tek-renkli-361/honglitronic-hl-psc-2012u51gc-471651" TargetMode="External"/><Relationship Id="rId257" Type="http://schemas.openxmlformats.org/officeDocument/2006/relationships/hyperlink" Target="https://www.motorobit.com/2-pinli-3x4mm-mini-smd-buton?srsltid=AfmBOoqunyp-mAhVAHNZYVUn0Y7DdyhoDzeqSG2Okh6HvBT0nTcuNm4P" TargetMode="External"/><Relationship Id="rId278" Type="http://schemas.openxmlformats.org/officeDocument/2006/relationships/hyperlink" Target="https://www.ozdisan.com/p/pin-headerlar-293/kls-electronic-l-kls1-207-1-02-s-464873" TargetMode="External"/><Relationship Id="rId401" Type="http://schemas.openxmlformats.org/officeDocument/2006/relationships/hyperlink" Target="https://www.direnc.net/2-pin-381mm-90-gecmeli-takim-klemens-12403" TargetMode="External"/><Relationship Id="rId422" Type="http://schemas.openxmlformats.org/officeDocument/2006/relationships/hyperlink" Target="https://www.direnc.net/10uf-25v-10-x7r-1206-smd-kondansator-13515" TargetMode="External"/><Relationship Id="rId443" Type="http://schemas.openxmlformats.org/officeDocument/2006/relationships/hyperlink" Target="https://www.motorobit.com/20k-14w-direnc-10-adet?srsltid=AfmBOoodwojaBAOVS72gz5LrnI_dHB6Wv_vT1bvHZ9Y1iZaxmEZeQEbv80A" TargetMode="External"/><Relationship Id="rId464" Type="http://schemas.openxmlformats.org/officeDocument/2006/relationships/hyperlink" Target="https://www.motorobit.com/470r-100w-5-aluminyum-direnc?srsltid=AfmBOor-HXNcpSJV9tDG5jdJhV2dfkGZf1d2-I8aUcSsaO8sDnf1d6nE" TargetMode="External"/><Relationship Id="rId303" Type="http://schemas.openxmlformats.org/officeDocument/2006/relationships/hyperlink" Target="https://kompozitpazari.com/urun/ce-92-genel-amacli-polyester-recine/" TargetMode="External"/><Relationship Id="rId42" Type="http://schemas.openxmlformats.org/officeDocument/2006/relationships/hyperlink" Target="https://www.hepsiburada.com/wago-221-2411-kol-ici-satir-ekleme-konnektoru-10-adet-pm-HBC00000SIZ4Z" TargetMode="External"/><Relationship Id="rId84" Type="http://schemas.openxmlformats.org/officeDocument/2006/relationships/hyperlink" Target="https://www.elcelektromarket.com/urun/fnirsi-usb-type-c-pd-sarj-kablosu-100w-pd-gan-adaptor-seti" TargetMode="External"/><Relationship Id="rId138" Type="http://schemas.openxmlformats.org/officeDocument/2006/relationships/hyperlink" Target="https://www.ozdisan.com/p/driver-receiver-ve-transceiver-entegreleri-229/microchip-mcp2551-i-sn-335441" TargetMode="External"/><Relationship Id="rId345" Type="http://schemas.openxmlformats.org/officeDocument/2006/relationships/hyperlink" Target="https://www.motorobit.com/jst-ph-20-2-pin-konnektor-seti?srsltid=AfmBOoqDOlcg7TVamAtoa7Jf8xGAPuAPUs4V1LMhFqiS8bN8XbiDXiRM" TargetMode="External"/><Relationship Id="rId387" Type="http://schemas.openxmlformats.org/officeDocument/2006/relationships/hyperlink" Target="https://www.ozdisan.com/p/smt-smd-ve-cip-direncler-194/yageo-rc0805jr-07560rl-837273" TargetMode="External"/><Relationship Id="rId191" Type="http://schemas.openxmlformats.org/officeDocument/2006/relationships/hyperlink" Target="https://www.alkayaelektronik.com/01-nf-250v?srsltid=AfmBOopDE2tbt9Uq5H6jwiqN4eSA4_Y7YBXNUOh8TZAwI9KNYm6nDvry" TargetMode="External"/><Relationship Id="rId205" Type="http://schemas.openxmlformats.org/officeDocument/2006/relationships/hyperlink" Target="https://www.ozdisan.com/p/transistor-ve-fotovoltaik-cikisli-optokuplorler-189/ixys-clare-cpc1001n-572115" TargetMode="External"/><Relationship Id="rId247" Type="http://schemas.openxmlformats.org/officeDocument/2006/relationships/hyperlink" Target="https://www.ozdisan.com/p/smt-smd-ve-mlcc-kapasitorler-184/kyocera-avx-kgm21bcg2a220kt-1056459" TargetMode="External"/><Relationship Id="rId412" Type="http://schemas.openxmlformats.org/officeDocument/2006/relationships/hyperlink" Target="https://www.direnc.net/10k-1w-direnc-paketi-50-adet" TargetMode="External"/><Relationship Id="rId107" Type="http://schemas.openxmlformats.org/officeDocument/2006/relationships/hyperlink" Target="https://www.direnc.net/tp4056-18650-lityum-pil-sarj-modulu-usb-tip-c" TargetMode="External"/><Relationship Id="rId289" Type="http://schemas.openxmlformats.org/officeDocument/2006/relationships/hyperlink" Target="https://www.hepsiburada.com/amtech-amtech-nc-559-asm-flux-krem-100g-pm-HBC000020CY3X" TargetMode="External"/><Relationship Id="rId454" Type="http://schemas.openxmlformats.org/officeDocument/2006/relationships/hyperlink" Target="https://www.ozdisan.com/p/buffer-driver-receiver-ve-transceiver-entegreleri-244/texas-sn74lvc125apw-1046579" TargetMode="External"/><Relationship Id="rId11" Type="http://schemas.openxmlformats.org/officeDocument/2006/relationships/hyperlink" Target="https://online.gunsanelectric.com/urun/gunsan-mavi-elektrik-izolasyon-bandi-10-adet" TargetMode="External"/><Relationship Id="rId53" Type="http://schemas.openxmlformats.org/officeDocument/2006/relationships/hyperlink" Target="https://www.hepsiburada.com/alkatronik-30a-250v-on-off-anahtar-yuksek-akim-kcd4-4-pin-buton-ip67-su-gecirmez-led-isikli-pm-HBC000037W1RM" TargetMode="External"/><Relationship Id="rId149" Type="http://schemas.openxmlformats.org/officeDocument/2006/relationships/hyperlink" Target="https://www.ozdisan.com/p/smt-smd-ve-cip-direncler-194/yageo-rc0805jr-0722kl-535083" TargetMode="External"/><Relationship Id="rId314" Type="http://schemas.openxmlformats.org/officeDocument/2006/relationships/hyperlink" Target="https://www.hepsiburada.com/580-parca-elektrik-kablo-konnektor-terminal-seti-2-3-4-6-9-pin-erkek-disi-2-8mm-otomotiv-bisiklet-ba-pm-HBC0000BMNV8P" TargetMode="External"/><Relationship Id="rId356" Type="http://schemas.openxmlformats.org/officeDocument/2006/relationships/hyperlink" Target="https://karakoyelektronik.com/tvs-diyot/smbj6-8a-94034?srsltid=AfmBOorNnoxyw_wSI2dCpBe9C7h5Tv0cWiiBuWL0Pj_WgJvGzIPCWnwK" TargetMode="External"/><Relationship Id="rId398" Type="http://schemas.openxmlformats.org/officeDocument/2006/relationships/hyperlink" Target="https://karakoyelektronik.com/role/aqy282sx-91607?srsltid=AfmBOorYwP9Zdw9CVw2aHM7ApBz9aK14ce5hcsoheykBvzFSbZGBpmOo" TargetMode="External"/><Relationship Id="rId95" Type="http://schemas.openxmlformats.org/officeDocument/2006/relationships/hyperlink" Target="https://www.robocombo.com/30x20cm-Delikli-Plaket" TargetMode="External"/><Relationship Id="rId160" Type="http://schemas.openxmlformats.org/officeDocument/2006/relationships/hyperlink" Target="https://www.ozdisan.com/p/transistor-ve-fotovoltaik-cikisli-optokuplorler-189/toshiba-tlp126-tpl-f-341257" TargetMode="External"/><Relationship Id="rId216" Type="http://schemas.openxmlformats.org/officeDocument/2006/relationships/hyperlink" Target="https://www.ozdisan.com/p/smt-smd-ve-mlcc-kapasitorler-184/yageo-cc1206kkx7r0bb104-749626" TargetMode="External"/><Relationship Id="rId423" Type="http://schemas.openxmlformats.org/officeDocument/2006/relationships/hyperlink" Target="https://www.robo90.com/22uf-25v-elektrolit-kondansator-4x7?srsltid=AfmBOorafBKA8ZWAHzVCNTSfkxmP-_Wb4HeDd29OmL98Txt5wr8bUmy6" TargetMode="External"/><Relationship Id="rId258" Type="http://schemas.openxmlformats.org/officeDocument/2006/relationships/hyperlink" Target="https://www.direnc.net/470nf-275vac-10-polyester-kondansator-x2-15mm" TargetMode="External"/><Relationship Id="rId465" Type="http://schemas.openxmlformats.org/officeDocument/2006/relationships/hyperlink" Target="https://www.ozdisan.com/p/schottky-diyotlar-385/m-c-c-sr3010-tp-1070583" TargetMode="External"/><Relationship Id="rId22" Type="http://schemas.openxmlformats.org/officeDocument/2006/relationships/hyperlink" Target="https://www.hepsiburada.com/jameson-helezon-spiral-kablo-toplama-2-5-15mm-10-metre-pm-HBC00000BHGEO" TargetMode="External"/><Relationship Id="rId64" Type="http://schemas.openxmlformats.org/officeDocument/2006/relationships/hyperlink" Target="https://www.komponentci.net/22e-g1-22mm-cikik-yayli-metal-buton-pmu52333" TargetMode="External"/><Relationship Id="rId118" Type="http://schemas.openxmlformats.org/officeDocument/2006/relationships/hyperlink" Target="https://www.ozdisan.com/p/logic-kapi-ve-cevirici-entegreleri-248/nexperia-74hc14d-653-39743" TargetMode="External"/><Relationship Id="rId325" Type="http://schemas.openxmlformats.org/officeDocument/2006/relationships/hyperlink" Target="https://www.robotistan.com/tec1-12706" TargetMode="External"/><Relationship Id="rId367" Type="http://schemas.openxmlformats.org/officeDocument/2006/relationships/hyperlink" Target="https://www.ozdisan.com/p/smt-smd-ve-cip-direncler-194/yageo-rc0805jr-076k8l-837288" TargetMode="External"/><Relationship Id="rId171" Type="http://schemas.openxmlformats.org/officeDocument/2006/relationships/hyperlink" Target="https://www.ozdisan.com/p/aluminyum-kapasitorler-180/koshin-pklh-025v471mf120-t-a3-5-473538" TargetMode="External"/><Relationship Id="rId227" Type="http://schemas.openxmlformats.org/officeDocument/2006/relationships/hyperlink" Target="https://www.ozdisan.com/p/smt-smd-ve-cip-direncler-194/royalohm-hp06w2f510kt5e-585261" TargetMode="External"/><Relationship Id="rId269" Type="http://schemas.openxmlformats.org/officeDocument/2006/relationships/hyperlink" Target="https://www.direnc.net/bc857c-pnp-smd-transistor-sot-23" TargetMode="External"/><Relationship Id="rId434" Type="http://schemas.openxmlformats.org/officeDocument/2006/relationships/hyperlink" Target="https://www.ozdisan.com/p/pin-headerlar-293/kls-electronic-l-kls1-207-1-02-s-464873" TargetMode="External"/><Relationship Id="rId33" Type="http://schemas.openxmlformats.org/officeDocument/2006/relationships/hyperlink" Target="https://www.hepsiburada.com/mechanic-krem-sivi-lehim-mechanic-solder-paste-35-gr-xg-40-183-derece-pm-HBC000001TJCL" TargetMode="External"/><Relationship Id="rId129" Type="http://schemas.openxmlformats.org/officeDocument/2006/relationships/hyperlink" Target="https://www.ozdisan.com/p/smt-smd-ve-mlcc-kapasitorler-184/samsung-cl21b104kbfwpne-522785" TargetMode="External"/><Relationship Id="rId280" Type="http://schemas.openxmlformats.org/officeDocument/2006/relationships/hyperlink" Target="https://www.ozdisan.com/p/ferrit-cekirdekler-440/cosmo-cf139t4016c-632641" TargetMode="External"/><Relationship Id="rId336" Type="http://schemas.openxmlformats.org/officeDocument/2006/relationships/hyperlink" Target="https://www.ozdisan.com/p/smt-smd-ve-cip-direncler-194/yageo-rc0805jr-0710kl-515420" TargetMode="External"/><Relationship Id="rId75" Type="http://schemas.openxmlformats.org/officeDocument/2006/relationships/hyperlink" Target="https://www.elektrocelik.com/oznur-075mm-nyaf-kablo-kahverengi-100-metre-nyaf-kablo-oznur-elektrocelik" TargetMode="External"/><Relationship Id="rId140" Type="http://schemas.openxmlformats.org/officeDocument/2006/relationships/hyperlink" Target="https://www.ozdisan.com/p/discrete-transistorler-442/ons-bc847blt1g-623106" TargetMode="External"/><Relationship Id="rId182" Type="http://schemas.openxmlformats.org/officeDocument/2006/relationships/hyperlink" Target="https://www.motorobit.com/xt90-erkek-konnektor?srsltid=AfmBOop7sKrYD2cUk-YS3E6VWiPDc0Th_U8BosJ4gpWhtDjaKK3wg47A" TargetMode="External"/><Relationship Id="rId378" Type="http://schemas.openxmlformats.org/officeDocument/2006/relationships/hyperlink" Target="https://www.ozdisan.com/p/sinyal-ledler-tek-renkli-361/liteon-ltst-c191kskt-502201" TargetMode="External"/><Relationship Id="rId403" Type="http://schemas.openxmlformats.org/officeDocument/2006/relationships/hyperlink" Target="https://www.amazon.com.tr/2-8in&#231;-SPI-Dokunmatik-Ekran-Mod&#252;l&#252;/dp/B0GWFFJBZN?source=ps-sl-shoppingads-lpcontext&amp;ref_=fplfs&amp;psc=1&amp;smid=A3H1WLZ8O8F5B0" TargetMode="External"/><Relationship Id="rId6" Type="http://schemas.openxmlformats.org/officeDocument/2006/relationships/hyperlink" Target="https://www.hepsiburada.com/cet-san-kablo-bagi-cirt-kelepce-siyah-2-5-x-150-mm-100-lu-p-HBV00000VG20W" TargetMode="External"/><Relationship Id="rId238" Type="http://schemas.openxmlformats.org/officeDocument/2006/relationships/hyperlink" Target="https://www.ozdisan.com/p/smt-smd-ve-mlcc-kapasitorler-184/samsung-cl21b104kcfnnne-470410" TargetMode="External"/><Relationship Id="rId445" Type="http://schemas.openxmlformats.org/officeDocument/2006/relationships/hyperlink" Target="https://www.motorobit.com/33k-14w-direnc-10-adet?srsltid=AfmBOoqwlFeVv-U1pdjH6Ry6lH9Z5y2c_-5QhUQTsLgF3ocaEqkrAc2J51I" TargetMode="External"/><Relationship Id="rId291" Type="http://schemas.openxmlformats.org/officeDocument/2006/relationships/hyperlink" Target="https://kompozitpazari.com/urun/olcum-ve-karistirma-kabi-1300-cc/" TargetMode="External"/><Relationship Id="rId305" Type="http://schemas.openxmlformats.org/officeDocument/2006/relationships/hyperlink" Target="https://kompozitpazari.com/urun/karbon-dokuma-200-g-m2-twill/" TargetMode="External"/><Relationship Id="rId347" Type="http://schemas.openxmlformats.org/officeDocument/2006/relationships/hyperlink" Target="https://www.direnc.net/3-lu-2-no-klemens-en" TargetMode="External"/><Relationship Id="rId44" Type="http://schemas.openxmlformats.org/officeDocument/2006/relationships/hyperlink" Target="https://www.hepsiburada.com/sonoff-d1-1-cok-amacli-kablo-konnektoru-pm-HBC00005TOL8S?magaza=SONOFF%20T&#220;RK&#304;YE" TargetMode="External"/><Relationship Id="rId86" Type="http://schemas.openxmlformats.org/officeDocument/2006/relationships/hyperlink" Target="https://www.hepsiburada.com/kingston-sdcs2-128gb-128gb-micsdxc-canvas-select-plus-100r-a1-c10-card-adp-hafiza-karti-pm-HB00000P7DD7" TargetMode="External"/><Relationship Id="rId151" Type="http://schemas.openxmlformats.org/officeDocument/2006/relationships/hyperlink" Target="https://www.ozdisan.com/p/smt-smd-ve-cip-direncler-194/royalohm-cq05w8f390jt5e-594604" TargetMode="External"/><Relationship Id="rId389" Type="http://schemas.openxmlformats.org/officeDocument/2006/relationships/hyperlink" Target="https://www.ozdisan.com/p/smt-smd-ve-cip-direncler-194/viking-crt05f7e5102-1206440" TargetMode="External"/><Relationship Id="rId193" Type="http://schemas.openxmlformats.org/officeDocument/2006/relationships/hyperlink" Target="https://www.robotistan.com/16-mhz-kristal" TargetMode="External"/><Relationship Id="rId207" Type="http://schemas.openxmlformats.org/officeDocument/2006/relationships/hyperlink" Target="https://www.ozdisan.com/p/smt-smd-ve-cip-direncler-194/viking-crt05j7e5602-1054417" TargetMode="External"/><Relationship Id="rId249" Type="http://schemas.openxmlformats.org/officeDocument/2006/relationships/hyperlink" Target="https://karakoyelektronik.com/tht-sigorta/t10a-250-kondansator-tip-sigorta-93550?srsltid=AfmBOor9ikk2Go_btwj_ZncFmkL2dNLLsWGp5jCYor88diYPdd-cByFL" TargetMode="External"/><Relationship Id="rId414" Type="http://schemas.openxmlformats.org/officeDocument/2006/relationships/hyperlink" Target="https://www.direnc.net/acs712-30a-smd-akim-sensoru-entegresi-soic8" TargetMode="External"/><Relationship Id="rId456" Type="http://schemas.openxmlformats.org/officeDocument/2006/relationships/hyperlink" Target="https://www.motorobit.com/ds3231sn-soic-16-smd-zamanlayici-entegre?srsltid=AfmBOopWr5VkKWKIKyiC96qAtNUdtc9oLfJNugf3PW-UBbYEVALC3XC5" TargetMode="External"/><Relationship Id="rId13" Type="http://schemas.openxmlformats.org/officeDocument/2006/relationships/hyperlink" Target="https://online.gunsanelectric.com/urun/gunsan-beyaz-elektrik-izolasyon-bandi-10-adet" TargetMode="External"/><Relationship Id="rId109" Type="http://schemas.openxmlformats.org/officeDocument/2006/relationships/hyperlink" Target="https://www.direnc.net/ams1117-smd-3v3-dogrusal-voltaj-regulatoru" TargetMode="External"/><Relationship Id="rId260" Type="http://schemas.openxmlformats.org/officeDocument/2006/relationships/hyperlink" Target="https://www.ozdisan.com/p/mikroislemciler-218/atmel-microchip-atmega328p-au-417001" TargetMode="External"/><Relationship Id="rId316" Type="http://schemas.openxmlformats.org/officeDocument/2006/relationships/hyperlink" Target="https://www.hepsiburada.com/isuzu-stop-musur-soketi-erkek-6-fis-pm-HBC00006ECR1N?magaza=YalazOtomotiv" TargetMode="External"/><Relationship Id="rId55" Type="http://schemas.openxmlformats.org/officeDocument/2006/relationships/hyperlink" Target="https://www.direnc.net/8pk-366n-b-lehim-pompasi-mavi-proskit" TargetMode="External"/><Relationship Id="rId97" Type="http://schemas.openxmlformats.org/officeDocument/2006/relationships/hyperlink" Target="https://www.robocombo.com/zd-180-2mm-lehim-sokme-fitili-4408" TargetMode="External"/><Relationship Id="rId120" Type="http://schemas.openxmlformats.org/officeDocument/2006/relationships/hyperlink" Target="https://www.ozdisan.com/p/vida-tipi-konnektorler-342/degson-k34-00ah-495909" TargetMode="External"/><Relationship Id="rId358" Type="http://schemas.openxmlformats.org/officeDocument/2006/relationships/hyperlink" Target="https://www.ozdisan.com/p/ptc-sigortalar-845/thinking-kmc5s150ry24-645212" TargetMode="External"/><Relationship Id="rId162" Type="http://schemas.openxmlformats.org/officeDocument/2006/relationships/hyperlink" Target="https://www.ozdisan.com/p/kristaller-508/raltron-as-8-000-20-h35-40687" TargetMode="External"/><Relationship Id="rId218" Type="http://schemas.openxmlformats.org/officeDocument/2006/relationships/hyperlink" Target="https://www.ozdisan.com/p/smt-smd-ve-cip-direncler-194/royalohm-hp06w2f100jt5e-585260" TargetMode="External"/><Relationship Id="rId425" Type="http://schemas.openxmlformats.org/officeDocument/2006/relationships/hyperlink" Target="https://www.direnc.net/1n4148-diyot-mic?utm_source=google&amp;utm_medium=cpc&amp;utm_campaign=0100-pmax-alfa&amp;gad_source=1&amp;gad_campaignid=22157331511&amp;gbraid=0AAAAAD2u3wogkxUn3gl6M-S2mH6thwb5g&amp;gclid=CjwKCAjw8arQBhB9EiwAfIKdQg46hJkTYn8p66Y71EqCDZ7i5zBvTjl9GAcBjvlAR4p3MQnVRid5OBoCmsEQAvD_BwE" TargetMode="External"/><Relationship Id="rId271" Type="http://schemas.openxmlformats.org/officeDocument/2006/relationships/hyperlink" Target="https://www.altanelektronik.net/urun/100uf-400v-teapo-marka-105c-radial-18x32-5" TargetMode="External"/><Relationship Id="rId24" Type="http://schemas.openxmlformats.org/officeDocument/2006/relationships/hyperlink" Target="https://www.hepsiburada.com/shoppypella-9-lu-cok-amacli-mikrofiber-temizlik-bezi-40x30-cm-silikon-malzeme-ile-derin-temizlik-p-HBCV000076QHYD?magaza=shoppypella" TargetMode="External"/><Relationship Id="rId66" Type="http://schemas.openxmlformats.org/officeDocument/2006/relationships/hyperlink" Target="https://www.komponentci.net/wd16h-g0-16mm-cikik-yayli-metal-buton-pmu52797" TargetMode="External"/><Relationship Id="rId131" Type="http://schemas.openxmlformats.org/officeDocument/2006/relationships/hyperlink" Target="https://www.ozdisan.com/p/zener-diyotlar-390/ons-1sma5918bt3g-431889" TargetMode="External"/><Relationship Id="rId327" Type="http://schemas.openxmlformats.org/officeDocument/2006/relationships/hyperlink" Target="https://www.trendyol.com/baseus/type-c-to-usb-3-1-donusturucu-adaptor-mini-otg-ingenuity-series-zjjq000001-p-262526021" TargetMode="External"/><Relationship Id="rId369" Type="http://schemas.openxmlformats.org/officeDocument/2006/relationships/hyperlink" Target="https://www.direnc.net/tsm2a103f3951-ntc-termistor-smd-0805-10k-1" TargetMode="External"/><Relationship Id="rId173" Type="http://schemas.openxmlformats.org/officeDocument/2006/relationships/hyperlink" Target="https://www.robocombo.com/2li-Gecmeli-Klemens-381mm-180-Derece,PR-948.html?srsltid=AfmBOoq-zeBaVHkGwpf8gll89Fc-wXhvlaCMM7qJWM8zCfGxmLg-wr0P" TargetMode="External"/><Relationship Id="rId229" Type="http://schemas.openxmlformats.org/officeDocument/2006/relationships/hyperlink" Target="https://www.ozdisan.com/p/smt-smd-ve-cip-direncler-194/royalohm-1206s4f8203t5e-402502" TargetMode="External"/><Relationship Id="rId380" Type="http://schemas.openxmlformats.org/officeDocument/2006/relationships/hyperlink" Target="https://www.ozdisan.com/p/ptc-sigortalar-845/fuzetec-fsmd185-2920-r-462089" TargetMode="External"/><Relationship Id="rId436" Type="http://schemas.openxmlformats.org/officeDocument/2006/relationships/hyperlink" Target="https://www.robotistan.com/usb-disi-b-tip-konnektor-c-262" TargetMode="External"/><Relationship Id="rId240" Type="http://schemas.openxmlformats.org/officeDocument/2006/relationships/hyperlink" Target="https://www.ozdisan.com/p/ntc-termistorler-852/dxm-mf72-10d9-515994?s=MF72-10D9" TargetMode="External"/><Relationship Id="rId35" Type="http://schemas.openxmlformats.org/officeDocument/2006/relationships/hyperlink" Target="https://www.akimla.com/manyetik-pcb-tutucu?srsltid=AfmBOorGB0sWaPNqhY2tYkG4G0iS7_dn-ZGIr0r3RTCbbHFFcv-d1GLygRU" TargetMode="External"/><Relationship Id="rId77" Type="http://schemas.openxmlformats.org/officeDocument/2006/relationships/hyperlink" Target="https://www.elektrocelik.com/oznur-075mm-nyaf-kablo-kirmizi-100-metre-nyaf-kablo-oznur-elektrocelik" TargetMode="External"/><Relationship Id="rId100" Type="http://schemas.openxmlformats.org/officeDocument/2006/relationships/hyperlink" Target="https://www.robotistan.com/sim800c-gprs-modulu?language=tr&amp;h=c083c7b2" TargetMode="External"/><Relationship Id="rId282" Type="http://schemas.openxmlformats.org/officeDocument/2006/relationships/hyperlink" Target="https://www.direnc.net/10-pin-yatay-karkas-ee25" TargetMode="External"/><Relationship Id="rId338" Type="http://schemas.openxmlformats.org/officeDocument/2006/relationships/hyperlink" Target="https://www.ozdisan.com/p/smt-smd-ve-mlcc-kapasitorler-184/yageo-cc0805kkx7r9bb105-750129" TargetMode="External"/><Relationship Id="rId8" Type="http://schemas.openxmlformats.org/officeDocument/2006/relationships/hyperlink" Target="https://www.hepsiburada.com/hubstein-750-li-kutulu-heat-shrink-makaron-daralan-kablo-tamir-seti-p-HBCV000045CXJK?magaza=SnrGrup" TargetMode="External"/><Relationship Id="rId142" Type="http://schemas.openxmlformats.org/officeDocument/2006/relationships/hyperlink" Target="https://www.ozdisan.com/p/smt-smd-ve-cip-direncler-194/yageo-rc0805jr-071kl-458683" TargetMode="External"/><Relationship Id="rId184" Type="http://schemas.openxmlformats.org/officeDocument/2006/relationships/hyperlink" Target="https://www.ozdisan.com/p/ntc-termistorler-852/lmem-lm03g-103f-36468" TargetMode="External"/><Relationship Id="rId391" Type="http://schemas.openxmlformats.org/officeDocument/2006/relationships/hyperlink" Target="https://www.ozdisan.com/p/smt-smd-ve-cip-direncler-194/yageo-rc0805jr-0710rl-497702" TargetMode="External"/><Relationship Id="rId405" Type="http://schemas.openxmlformats.org/officeDocument/2006/relationships/hyperlink" Target="https://www.direnc.net/esp32-wroom-32d-wifi-bluetooth-gelistirme-modulu-en" TargetMode="External"/><Relationship Id="rId447" Type="http://schemas.openxmlformats.org/officeDocument/2006/relationships/hyperlink" Target="https://www.motorobit.com/220r-14w-direnc-10-adet?srsltid=AfmBOopvduVFz9PO9BAZA8kfV4yoEFjt_TN_NqD7gGPR3fRYowj7V5_gsKw" TargetMode="External"/><Relationship Id="rId251" Type="http://schemas.openxmlformats.org/officeDocument/2006/relationships/hyperlink" Target="https://www.ozdisan.com/p/discrete-mosfetler-435/ixys-ixth20n65x2-634390" TargetMode="External"/><Relationship Id="rId46" Type="http://schemas.openxmlformats.org/officeDocument/2006/relationships/hyperlink" Target="https://www.motorobit.com/kf128v-3p-5mm-3-pin-terminal-klemens" TargetMode="External"/><Relationship Id="rId293" Type="http://schemas.openxmlformats.org/officeDocument/2006/relationships/hyperlink" Target="https://kompozitpazari.com/urun/jelkot-kalinligi-olcum-taragi-yas-film-kalinlik-olcum-taragi/" TargetMode="External"/><Relationship Id="rId307" Type="http://schemas.openxmlformats.org/officeDocument/2006/relationships/hyperlink" Target="https://www.motorobit.com/ds3231-hassas-rtc-ve-24c32-hafiza-modulu?gad_source=1&amp;gad_campaignid=23220066671&amp;gclid=CjwKCAjwhqfPBhBWEiwAZo196jkvQZ02kCfpzY9isRae2CzaOKEdbd8kWjiUPFj4y0R3lrg1-pfV4hoCCB4QAvD_BwE" TargetMode="External"/><Relationship Id="rId349" Type="http://schemas.openxmlformats.org/officeDocument/2006/relationships/hyperlink" Target="https://tr.farnell.com/microchip/attiny841-ssu/mcu-attiny-8kb-16mhz-soic-14/dp/2396716?srsltid=AfmBOor9e7eHQdY8Qcug0KLQ0O6oaDTVvm0u3vZpymH9Gt2wfG0G_ek5" TargetMode="External"/><Relationship Id="rId88" Type="http://schemas.openxmlformats.org/officeDocument/2006/relationships/hyperlink" Target="https://www.hepsiburada.com/kingston-32gb-microsdhc-canvas-select-plus-100r-a1-c10-card-adapter-32gb-sdcs2-pm-HB00000P7DCX" TargetMode="External"/><Relationship Id="rId111" Type="http://schemas.openxmlformats.org/officeDocument/2006/relationships/hyperlink" Target="https://www.robocombo.com/18650-Tip-Pil-Yuvasi,PR-1158.html" TargetMode="External"/><Relationship Id="rId153" Type="http://schemas.openxmlformats.org/officeDocument/2006/relationships/hyperlink" Target="https://www.ozdisan.com/p/smt-smd-ve-cip-direncler-194/yageo-rc0805jr-0710rl-497702" TargetMode="External"/><Relationship Id="rId195" Type="http://schemas.openxmlformats.org/officeDocument/2006/relationships/hyperlink" Target="https://www.elibuyukoto.com/products/audi-a3-seat-cordoba-ibiza-leon-toledo-octavia-volkswagen-bora-golf-jetta-polo-kilometre-sensoru-1h0919149a?variant=42968286986333&amp;country=TR&amp;currency=TRY&amp;utm_medium=product_sync&amp;utm_source=google&amp;utm_content=sag_organic&amp;utm_campaign=sag_organic&amp;srsltid=AfmBOor3SAx0I_bJLdhhDO1kTx7UqLWGTJ06ciXmIUyHC8m6D-uObhTPWHM" TargetMode="External"/><Relationship Id="rId209" Type="http://schemas.openxmlformats.org/officeDocument/2006/relationships/hyperlink" Target="https://www.ozdisan.com/p/smt-smd-ve-cip-direncler-194/royalohm-hp05w3f3300t5e-604201" TargetMode="External"/><Relationship Id="rId360" Type="http://schemas.openxmlformats.org/officeDocument/2006/relationships/hyperlink" Target="https://karakoyelektronik.com/transistor/ao3400-78701?srsltid=AfmBOooQCw_rWG03a4dsM44JvK5qI6FmKjgmuISl26Yc2QBO3YQkQK-Q" TargetMode="External"/><Relationship Id="rId416" Type="http://schemas.openxmlformats.org/officeDocument/2006/relationships/hyperlink" Target="https://www.komponentci.net/ic-233k-1-cr2032-pil-yuvasi-dikey-pmu10525" TargetMode="External"/><Relationship Id="rId220" Type="http://schemas.openxmlformats.org/officeDocument/2006/relationships/hyperlink" Target="https://www.ozdisan.com/p/smt-smd-ve-mlcc-kapasitorler-184/samsung-cl31b221kbcnnnc-523381" TargetMode="External"/><Relationship Id="rId458" Type="http://schemas.openxmlformats.org/officeDocument/2006/relationships/hyperlink" Target="https://www.direnc.net/ch340g-smd-usb-arabirimi-arayuz-kontrolor" TargetMode="External"/><Relationship Id="rId15" Type="http://schemas.openxmlformats.org/officeDocument/2006/relationships/hyperlink" Target="https://online.gunsanelectric.com/urun/gunsan-sari-yesil-elektrik-izolasyon-bandi-10-adet" TargetMode="External"/><Relationship Id="rId57" Type="http://schemas.openxmlformats.org/officeDocument/2006/relationships/hyperlink" Target="https://www.motorobit.com/pbs26-16mm-push-buton-yesil-ic-180" TargetMode="External"/><Relationship Id="rId262" Type="http://schemas.openxmlformats.org/officeDocument/2006/relationships/hyperlink" Target="https://www.direnc.net/16000mhz-smd-kristal-hc-49us" TargetMode="External"/><Relationship Id="rId318" Type="http://schemas.openxmlformats.org/officeDocument/2006/relationships/hyperlink" Target="https://www.soketsan.com.tr/furukawa-is-makine-soketi-beyaz-disi-8-pin-kablolu-3818029-K" TargetMode="External"/><Relationship Id="rId99" Type="http://schemas.openxmlformats.org/officeDocument/2006/relationships/hyperlink" Target="https://www.robocombo.com/ebyte-e32-433t30d-8km-menzilli-lora-modulu-3813" TargetMode="External"/><Relationship Id="rId122" Type="http://schemas.openxmlformats.org/officeDocument/2006/relationships/hyperlink" Target="https://www.ozdisan.com/p/smt-smd-ve-mlcc-kapasitorler-184/kemet-c0805c106k8ractu-482455" TargetMode="External"/><Relationship Id="rId164" Type="http://schemas.openxmlformats.org/officeDocument/2006/relationships/hyperlink" Target="https://www.ozdisan.com/p/smt-smd-ve-mlcc-kapasitorler-184/samsung-cl21b104kcfnnne-470410" TargetMode="External"/><Relationship Id="rId371" Type="http://schemas.openxmlformats.org/officeDocument/2006/relationships/hyperlink" Target="https://www.motorobit.com/8000-mhz-smd-kristal-5032-2p?srsltid=AfmBOopEdUlWoMMORytBllmCuknDcJ6UoFpfOtbxMB2AeDSzAveoonWN" TargetMode="External"/><Relationship Id="rId427" Type="http://schemas.openxmlformats.org/officeDocument/2006/relationships/hyperlink" Target="https://www.komponentci.net/mb312-500m02ce02-5mm-2-pin-terminal-klemens-pmu57905" TargetMode="External"/><Relationship Id="rId26" Type="http://schemas.openxmlformats.org/officeDocument/2006/relationships/hyperlink" Target="https://www.hepsiburada.com/havya-sehpasi-havya-standi-ltj217-metal-lehim-makara-ve-kalem-havya-tutuculu-110x160-mm-sungerli-pm-HBC0000BFU5D7" TargetMode="External"/><Relationship Id="rId231" Type="http://schemas.openxmlformats.org/officeDocument/2006/relationships/hyperlink" Target="https://www.ozdisan.com/p/smt-smd-ve-cip-direncler-194/royalohm-1206s4j0753t5e-453076" TargetMode="External"/><Relationship Id="rId273" Type="http://schemas.openxmlformats.org/officeDocument/2006/relationships/hyperlink" Target="https://www.ulutaselektronik.com/urun/0-22r-1-2w-karbon-film-direnc?srsltid=AfmBOoq4z1cKo3U8kruZkcr-ypweQxQoHVQVhPcXhwvcXdfAcSIoUU9Y" TargetMode="External"/><Relationship Id="rId329" Type="http://schemas.openxmlformats.org/officeDocument/2006/relationships/hyperlink" Target="https://www.motorobit.com/5x20-kablolu-sigorta-yuvasi-siyah?srsltid=AfmBOop04cr5nov-5y8atsF4NpwFLoBg2mkPpHaWn8Zqkzf5GF0zfmRW" TargetMode="External"/><Relationship Id="rId68" Type="http://schemas.openxmlformats.org/officeDocument/2006/relationships/hyperlink" Target="https://www.hepsiburada.com/ozn-cit-cit-anahtar-30-lu-pm-HBC0000163JHT" TargetMode="External"/><Relationship Id="rId133" Type="http://schemas.openxmlformats.org/officeDocument/2006/relationships/hyperlink" Target="https://www.ozdisan.com/p/genel-amacli-diyotlar-389/hottech-es1d-sma-484812" TargetMode="External"/><Relationship Id="rId175" Type="http://schemas.openxmlformats.org/officeDocument/2006/relationships/hyperlink" Target="https://www.meltisteknoloji.com/110mm-mavi-batarya-kaplama-shrink-isiyla-daralan-pvc-makaron-1199" TargetMode="External"/><Relationship Id="rId340" Type="http://schemas.openxmlformats.org/officeDocument/2006/relationships/hyperlink" Target="https://www.ulutaselektronik.com/urun/ds1023-1x7s21-7pin-1x7-2-54mm-disi-tht-v-t-tray-pin-header?srsltid=AfmBOopkri43TfvsHTwrX_phcLAdSl-vNE3owh7cE8S20L9hccA5YTJJ" TargetMode="External"/><Relationship Id="rId200" Type="http://schemas.openxmlformats.org/officeDocument/2006/relationships/hyperlink" Target="https://www.ozdisan.com/p/smt-smd-ve-cip-direncler-194/royalohm-hp05w3f1001t5e-604213" TargetMode="External"/><Relationship Id="rId382" Type="http://schemas.openxmlformats.org/officeDocument/2006/relationships/hyperlink" Target="https://www.e-komponent.com/ao3400a-alpha-omega-semiconductor-transistor-fet-mosfet-tekli?srsltid=AfmBOopRsFnLQGaeplFhsRgsihQLk_Be8Zda6dofZcfvgjHTyXbDcTrk" TargetMode="External"/><Relationship Id="rId438" Type="http://schemas.openxmlformats.org/officeDocument/2006/relationships/hyperlink" Target="https://www.robotistan.com/3mm-seffaf-beyaz-led-paketi-10-adet" TargetMode="External"/><Relationship Id="rId242" Type="http://schemas.openxmlformats.org/officeDocument/2006/relationships/hyperlink" Target="https://www.ozdisan.com/p/seramik-kapasitorler-181/kls-electronic-l-kls10-hv16-2kv-y5v-22-529358" TargetMode="External"/><Relationship Id="rId284" Type="http://schemas.openxmlformats.org/officeDocument/2006/relationships/hyperlink" Target="https://www.direnc.net/10-pin-yatay-karkas-ei30" TargetMode="External"/><Relationship Id="rId37" Type="http://schemas.openxmlformats.org/officeDocument/2006/relationships/hyperlink" Target="https://www.motorobit.com/m3-14mm-plastik-disi-erkek-aralayici-standoff" TargetMode="External"/><Relationship Id="rId79" Type="http://schemas.openxmlformats.org/officeDocument/2006/relationships/hyperlink" Target="https://www.elektrocelik.com/oznur-075mm-nyaf-kablo-sari-yesil-100-metre-nyaf-kablo-oznur-elektrocelik" TargetMode="External"/><Relationship Id="rId102" Type="http://schemas.openxmlformats.org/officeDocument/2006/relationships/hyperlink" Target="https://www.robotistan.com/mcp2515-canbus-spi-haberlesme-modulu" TargetMode="External"/><Relationship Id="rId144" Type="http://schemas.openxmlformats.org/officeDocument/2006/relationships/hyperlink" Target="https://www.ozdisan.com/p/smt-smd-ve-cip-direncler-194/royalohm-0805s8j0302t5e-31202" TargetMode="External"/><Relationship Id="rId90" Type="http://schemas.openxmlformats.org/officeDocument/2006/relationships/hyperlink" Target="https://www.direnc.net/arduino-sd-kart-modulu" TargetMode="External"/><Relationship Id="rId186" Type="http://schemas.openxmlformats.org/officeDocument/2006/relationships/hyperlink" Target="https://www.e-komponent.com/ceramic-capacitors-15455?srsltid=AfmBOop8u4nxd7CL9DIaZ4Ovo2vVgZmgyd4tjpE0p4PSsonP_PpfHg-J" TargetMode="External"/><Relationship Id="rId351" Type="http://schemas.openxmlformats.org/officeDocument/2006/relationships/hyperlink" Target="https://www.ozdisan.com/p/smt-smd-ve-mlcc-kapasitorler-184/samsung-cl21b104kbfwpne-522785" TargetMode="External"/><Relationship Id="rId393" Type="http://schemas.openxmlformats.org/officeDocument/2006/relationships/hyperlink" Target="https://www.e-komponent.com/voltage-level-translator-bidirectional-txs0102dcur?srsltid=AfmBOooGa_QZdq_VOketCQ_3Dtw4ebHYYABKHyX3YHO4IytuEqPOmRUX" TargetMode="External"/><Relationship Id="rId407" Type="http://schemas.openxmlformats.org/officeDocument/2006/relationships/hyperlink" Target="https://shop.fixaj.com/lora-parametre-ayarlari-icin-usb-stick-usb-uart-cp2102-e15-usb-t2?srsltid=AfmBOoq1FXPT-vDM1k46hE5kzsO_I8ddgTQPZ2jw1nSDkjESpz1_f5s6" TargetMode="External"/><Relationship Id="rId449" Type="http://schemas.openxmlformats.org/officeDocument/2006/relationships/hyperlink" Target="https://www.ozdisan.com/p/pc-kart-soketleri-706/attend-112a-taar-r03-585486" TargetMode="External"/><Relationship Id="rId211" Type="http://schemas.openxmlformats.org/officeDocument/2006/relationships/hyperlink" Target="https://www.ozdisan.com/p/smt-smd-ve-mlcc-kapasitorler-184/samsung-cl21b102kc6wpnc-522755" TargetMode="External"/><Relationship Id="rId253" Type="http://schemas.openxmlformats.org/officeDocument/2006/relationships/hyperlink" Target="https://www.ozdisan.com/p/smt-smd-ve-cip-direncler-194/royalohm-0805s8j0302t5e-31202" TargetMode="External"/><Relationship Id="rId295" Type="http://schemas.openxmlformats.org/officeDocument/2006/relationships/hyperlink" Target="https://www.sparco.com.tr/urun/sparco-new-sprint-fia-onayli-yaris-tulumu_12550.aspx?CatId=2024" TargetMode="External"/><Relationship Id="rId309" Type="http://schemas.openxmlformats.org/officeDocument/2006/relationships/hyperlink" Target="https://www.robotistan.com/24-inch-nextion-hmi-dokunmatik-tft-lcd-ekran-8-port-gpio-16mb-dahili-hafiza" TargetMode="External"/><Relationship Id="rId460" Type="http://schemas.openxmlformats.org/officeDocument/2006/relationships/hyperlink" Target="https://www.motorobit.com/470r-1w-direnc-10-adet?srsltid=AfmBOopj2VeeP8MaMNsCxho-9TSrmidJbD6I1QsKP1YQDAzAxLZXLq8XPWw" TargetMode="External"/><Relationship Id="rId48" Type="http://schemas.openxmlformats.org/officeDocument/2006/relationships/hyperlink" Target="https://www.motorobit.com/kcd1-1-kirmizi-isikli-onoff-anahtar-3-pin-ic-118" TargetMode="External"/><Relationship Id="rId113" Type="http://schemas.openxmlformats.org/officeDocument/2006/relationships/hyperlink" Target="https://www.direnc.net/stm32f407vgt6-smd-32bit-168mhz-mikrodenetleyici-lqfp100-en" TargetMode="External"/><Relationship Id="rId320" Type="http://schemas.openxmlformats.org/officeDocument/2006/relationships/hyperlink" Target="https://www.motorobit.com/1k-100w-aluminyum-direnc?srsltid=AfmBOopuMw_HS_NUsZIevmANVHEhUcGMZ19KZShkPNWkFjtfYc1h8dn0tb4" TargetMode="External"/><Relationship Id="rId155" Type="http://schemas.openxmlformats.org/officeDocument/2006/relationships/hyperlink" Target="https://www.ozdisan.com/p/smt-smd-ve-cip-direncler-194/yageo-rc0805jr-07100kl-837186" TargetMode="External"/><Relationship Id="rId197" Type="http://schemas.openxmlformats.org/officeDocument/2006/relationships/hyperlink" Target="https://www.ozdisan.com/p/karkaslar-439/durga-ee2506hor-344756" TargetMode="External"/><Relationship Id="rId362" Type="http://schemas.openxmlformats.org/officeDocument/2006/relationships/hyperlink" Target="https://www.ozdisan.com/p/smt-smd-ve-cip-direncler-194/royalohm-hp05w3f2200t5e-604197" TargetMode="External"/><Relationship Id="rId418" Type="http://schemas.openxmlformats.org/officeDocument/2006/relationships/hyperlink" Target="https://www.robotistan.com/10nf-ceramic-capacitor-package-10-units" TargetMode="External"/><Relationship Id="rId222" Type="http://schemas.openxmlformats.org/officeDocument/2006/relationships/hyperlink" Target="https://www.ozdisan.com/p/smt-smd-ve-cip-direncler-194/royalohm-hp05w3f1502t5e-604244" TargetMode="External"/><Relationship Id="rId264" Type="http://schemas.openxmlformats.org/officeDocument/2006/relationships/hyperlink" Target="https://www.ozdisan.com/p/kopru-diyotlar-387/panjit-kbj3512-b0-10001-584894" TargetMode="External"/><Relationship Id="rId17" Type="http://schemas.openxmlformats.org/officeDocument/2006/relationships/hyperlink" Target="https://kompozitpazari.com/urun/ahsap-sapli-super-kestirme-recine-fircalari/" TargetMode="External"/><Relationship Id="rId59" Type="http://schemas.openxmlformats.org/officeDocument/2006/relationships/hyperlink" Target="https://www.motorobit.com/pbs26-16mm-push-buton-mavi-ic-180" TargetMode="External"/><Relationship Id="rId124" Type="http://schemas.openxmlformats.org/officeDocument/2006/relationships/hyperlink" Target="https://www.ozdisan.com/p/transistor-ve-fotovoltaik-cikisli-optokuplorler-189/isocom-is280-4-635840" TargetMode="External"/><Relationship Id="rId70" Type="http://schemas.openxmlformats.org/officeDocument/2006/relationships/hyperlink" Target="https://www.hepsiburada.com/rodevino-timsah-agiz-krokodil-test-kablosu-45-50cm-10-lu-pm-HBC000085YH14" TargetMode="External"/><Relationship Id="rId166" Type="http://schemas.openxmlformats.org/officeDocument/2006/relationships/hyperlink" Target="https://www.ozdisan.com/p/smt-smd-ve-mlcc-kapasitorler-184/kemet-c1210c104kbracauto-627400" TargetMode="External"/><Relationship Id="rId331" Type="http://schemas.openxmlformats.org/officeDocument/2006/relationships/hyperlink" Target="https://www.direnc.net/1x40-uzun-bacakli-disi-header" TargetMode="External"/><Relationship Id="rId373" Type="http://schemas.openxmlformats.org/officeDocument/2006/relationships/hyperlink" Target="https://www.ozdisan.com/p/smt-smd-ve-mlcc-kapasitorler-184/samsung-cl21b104kcfwpne-522793" TargetMode="External"/><Relationship Id="rId429" Type="http://schemas.openxmlformats.org/officeDocument/2006/relationships/hyperlink" Target="https://www.direnc.net/3-pin-0-no-508mm-yesil-klemens" TargetMode="External"/><Relationship Id="rId1" Type="http://schemas.openxmlformats.org/officeDocument/2006/relationships/hyperlink" Target="https://online.gunsanelectric.com/urun/gunsan-gri-elektrik-izolasyon-bandi-10-adet" TargetMode="External"/><Relationship Id="rId233" Type="http://schemas.openxmlformats.org/officeDocument/2006/relationships/hyperlink" Target="https://www.ozdisan.com/p/smt-smd-ve-cip-direncler-194/royalohm-hp06w2f3303t5e-604451" TargetMode="External"/><Relationship Id="rId440" Type="http://schemas.openxmlformats.org/officeDocument/2006/relationships/hyperlink" Target="https://www.motorobit.com/12000-mhz-kristal-kisa-bacakli?srsltid=AfmBOopdKVyjWKZKhKkrWwzVuFUbAUP_vJUiFIiSm0aSUu5eOXlTZULh5Ms" TargetMode="External"/><Relationship Id="rId28" Type="http://schemas.openxmlformats.org/officeDocument/2006/relationships/hyperlink" Target="https://www.hepsiburada.com/best-cr-1002-fren-balata-spreyi-yag-temizleyici-500-mlabbcr1002fbsy-pm-HBC000003B2ZS" TargetMode="External"/><Relationship Id="rId275" Type="http://schemas.openxmlformats.org/officeDocument/2006/relationships/hyperlink" Target="https://www.ulutaselektronik.com/urun/er3j-smc-do-214ab-smc-3a-600v-fast-recovery-diode?srsltid=AfmBOopfgVfu0YZ5_uwwY2kEmyl5sN2qegVQ_TycwnzWOHsz8U0O39yN" TargetMode="External"/><Relationship Id="rId300" Type="http://schemas.openxmlformats.org/officeDocument/2006/relationships/hyperlink" Target="https://kompozitpazari.com/urun/gfm-vakum-sizdirmazlik-macunu-gfm-1bt205i-y-sari-205-c/" TargetMode="External"/><Relationship Id="rId81" Type="http://schemas.openxmlformats.org/officeDocument/2006/relationships/hyperlink" Target="https://www.motorobit.com/ve-0508-10-adet-beyaz-izoleli-tek-girisli-yuksuk?srsltid=AfmBOoo4sFRln6U1A1TpsLwUm0TIUwxkWYYLP_XFOOSnWdp9I4nF0Mmg" TargetMode="External"/><Relationship Id="rId135" Type="http://schemas.openxmlformats.org/officeDocument/2006/relationships/hyperlink" Target="https://www.ozdisan.com/p/gecmeli-klemensler-411/oem-jk2edgk-3-81-05p-14-728675" TargetMode="External"/><Relationship Id="rId177" Type="http://schemas.openxmlformats.org/officeDocument/2006/relationships/hyperlink" Target="https://kompozitpazari.com/urun/rulo-asacagi-duvar-tipi/" TargetMode="External"/><Relationship Id="rId342" Type="http://schemas.openxmlformats.org/officeDocument/2006/relationships/hyperlink" Target="https://www.ozdisan.com/p/smt-smd-ve-mlcc-kapasitorler-184/samsung-cl21b104kcfwpne-522793" TargetMode="External"/><Relationship Id="rId384" Type="http://schemas.openxmlformats.org/officeDocument/2006/relationships/hyperlink" Target="https://www.ozdisan.com/p/smt-smd-ve-cip-direncler-194/yageo-ac0805jr-07220rl-708283" TargetMode="External"/><Relationship Id="rId202" Type="http://schemas.openxmlformats.org/officeDocument/2006/relationships/hyperlink" Target="https://www.ozdisan.com/p/smt-smd-ve-cip-direncler-194/royalohm-hp05w3j0104t5e-604342" TargetMode="External"/><Relationship Id="rId244" Type="http://schemas.openxmlformats.org/officeDocument/2006/relationships/hyperlink" Target="https://www.ozdisan.com/p/smt-smd-ve-mlcc-kapasitorler-184/murata-grm21br6ya106me43l-518033" TargetMode="External"/><Relationship Id="rId39" Type="http://schemas.openxmlformats.org/officeDocument/2006/relationships/hyperlink" Target="https://www.motorobit.com/m3-plastik-somun" TargetMode="External"/><Relationship Id="rId286" Type="http://schemas.openxmlformats.org/officeDocument/2006/relationships/hyperlink" Target="https://karakoyelektronik.com/amplifikatorler/lm358dt-18695?srsltid=AfmBOormcKLBEDVNAgzrurXPV0t5Wq0tmMbUmE3AgMqW7GXB3vBr9lm7" TargetMode="External"/><Relationship Id="rId451" Type="http://schemas.openxmlformats.org/officeDocument/2006/relationships/hyperlink" Target="https://www.robocombo.com/atmega328p-pu-dip28-mikrodenetleyici-2724?srsltid=AfmBOoo9zvgw18rIBenHCAWKcBOiYMAlqi1y-yxbbwVeuitIJXPKpdiUtFQ" TargetMode="External"/><Relationship Id="rId50" Type="http://schemas.openxmlformats.org/officeDocument/2006/relationships/hyperlink" Target="https://www.direnc.net/on-off-gecis-anahtari-toggle-switch" TargetMode="External"/><Relationship Id="rId104" Type="http://schemas.openxmlformats.org/officeDocument/2006/relationships/hyperlink" Target="https://www.direnc.net/bluepill-mini-gelistirme-karti" TargetMode="External"/><Relationship Id="rId146" Type="http://schemas.openxmlformats.org/officeDocument/2006/relationships/hyperlink" Target="https://www.ozdisan.com/p/smt-smd-ve-cip-direncler-194/viking-crt05j7e2201-1054404" TargetMode="External"/><Relationship Id="rId188" Type="http://schemas.openxmlformats.org/officeDocument/2006/relationships/hyperlink" Target="https://www.e-komponent.com/25zlh470mefc10x125-rubycon-aluminyum-elektrolitik-kapasitor?srsltid=AfmBOorQK_UNTK0t7ekt7d8nua2gLi4KrU_75APDfchbvWE7c473hmyk" TargetMode="External"/><Relationship Id="rId311" Type="http://schemas.openxmlformats.org/officeDocument/2006/relationships/hyperlink" Target="https://www.hepsiburada.com/motorola-t82-extreme-ikili-pmr-telsiz-kulaklik-resmi-ithalatci-garantili-ve-firmamiz-servis-garantili-pm-HBC00002TTCD4" TargetMode="External"/><Relationship Id="rId353" Type="http://schemas.openxmlformats.org/officeDocument/2006/relationships/hyperlink" Target="https://karakoyelektronik.com/voltage-reference-entegreleri/tl432-adj-21570?srsltid=AfmBOop-7TpGHH-JxSw-FaHZyNXv6sAGeSbtFdOVy2-L-D7-d4Z3zkUG" TargetMode="External"/><Relationship Id="rId395" Type="http://schemas.openxmlformats.org/officeDocument/2006/relationships/hyperlink" Target="https://www.ozdisan.com/p/driver-receiver-ve-transceiver-entegreleri-229/texas-sn65hvd75dr-484175?https://www.ozdisan.com/?utm_source=google&amp;utm_medium=cpc&amp;utm_campaign=creamake+_pmax_tr&amp;utm_id=pmax-tr&amp;utm_term=%7Bkeyword%7D&amp;utm_content=%7Bcreative%7D&amp;gad_source=1&amp;gad_campaignid=23585524288&amp;gclid=CjwKCAjwtcHPBhADEiwAWo3sJn17ycMH8zdQNEfI9D0XK1gBB57r8lk1nAhjV5Q1-gaCs9RHR3VlHxoC2DUQAvD_BwE" TargetMode="External"/><Relationship Id="rId409" Type="http://schemas.openxmlformats.org/officeDocument/2006/relationships/hyperlink" Target="https://www.direnc.net/lm2596-power-suplay-modul-1?utm_source=google&amp;utm_medium=cpc&amp;utm_campaign=0100-pmax-alfa&amp;gad_source=1&amp;gad_campaignid=22157331511&amp;gclid=CjwKCAjwtcHPBhADEiwAWo3sJmjtdPXztGp05hakX_oyZMYbfNclg0Fd2kGKKhNZxFpP8Un8JHZFZRoC424QAvD_BwE" TargetMode="External"/><Relationship Id="rId92" Type="http://schemas.openxmlformats.org/officeDocument/2006/relationships/hyperlink" Target="https://www.robocombo.com/Havya-Ucu-Temizleyici,PR-531.html" TargetMode="External"/><Relationship Id="rId213" Type="http://schemas.openxmlformats.org/officeDocument/2006/relationships/hyperlink" Target="https://www.ozdisan.com/p/smt-smd-ve-cip-direncler-194/viking-crt05f7e5102-1206440" TargetMode="External"/><Relationship Id="rId420" Type="http://schemas.openxmlformats.org/officeDocument/2006/relationships/hyperlink" Target="https://www.robotistan.com/1uf-63v-electrolytic-capacitor" TargetMode="External"/><Relationship Id="rId255" Type="http://schemas.openxmlformats.org/officeDocument/2006/relationships/hyperlink" Target="https://www.ozdisan.com/p/smt-smd-ve-cip-direncler-194/viking-crt05j7e2002-1054419" TargetMode="External"/><Relationship Id="rId297" Type="http://schemas.openxmlformats.org/officeDocument/2006/relationships/hyperlink" Target="https://kompozitpazari.com/urun/m048-pvc-kopuk/" TargetMode="External"/><Relationship Id="rId462" Type="http://schemas.openxmlformats.org/officeDocument/2006/relationships/hyperlink" Target="https://www.robotistan.com/14w-330r-direnc-paketi-10-adet" TargetMode="External"/><Relationship Id="rId115" Type="http://schemas.openxmlformats.org/officeDocument/2006/relationships/hyperlink" Target="https://kompozitpazari.com/urun/plastik-kalip-ayirma-kamasi-100-mm/" TargetMode="External"/><Relationship Id="rId157" Type="http://schemas.openxmlformats.org/officeDocument/2006/relationships/hyperlink" Target="https://www.ozdisan.com/p/pin-headerlar-293/kls-electronic-l-kls1-207-1-04-s-480971?categoryName=pin-headerlar-293&amp;productSlug=kls-electronic-l-kls1-207-1-04-s-480971" TargetMode="External"/><Relationship Id="rId322" Type="http://schemas.openxmlformats.org/officeDocument/2006/relationships/hyperlink" Target="https://www.motorobit.com/12v-30a-role-5-pin?srsltid=AfmBOor5L60ookJ6_90b4BCsA3iNy5lFN3-0TjzEWsLzC3lB6gO75VJtuxc" TargetMode="External"/><Relationship Id="rId364" Type="http://schemas.openxmlformats.org/officeDocument/2006/relationships/hyperlink" Target="https://www.ozdisan.com/p/smt-smd-ve-cip-direncler-194/yageo-rc0805jr-071kl-458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5"/>
  <sheetViews>
    <sheetView tabSelected="1" topLeftCell="A464" zoomScale="53" zoomScaleNormal="55" zoomScaleSheetLayoutView="20" workbookViewId="0">
      <selection activeCell="I477" sqref="I477"/>
    </sheetView>
  </sheetViews>
  <sheetFormatPr defaultRowHeight="14.4" x14ac:dyDescent="0.3"/>
  <cols>
    <col min="2" max="2" width="10.77734375" style="4" customWidth="1"/>
    <col min="3" max="3" width="30.88671875" style="55" customWidth="1"/>
    <col min="4" max="5" width="10.6640625" style="4" customWidth="1"/>
    <col min="6" max="6" width="52.21875" style="11" customWidth="1"/>
    <col min="7" max="7" width="28.6640625" style="1" customWidth="1"/>
    <col min="8" max="8" width="13.77734375" customWidth="1"/>
    <col min="9" max="9" width="15.77734375" customWidth="1"/>
    <col min="10" max="10" width="13.77734375" customWidth="1"/>
    <col min="11" max="11" width="15.77734375" customWidth="1"/>
    <col min="12" max="12" width="13.77734375" customWidth="1"/>
    <col min="13" max="13" width="15.77734375" customWidth="1"/>
    <col min="14" max="14" width="13.77734375" customWidth="1"/>
    <col min="15" max="15" width="15.77734375" customWidth="1"/>
    <col min="16" max="16" width="13.77734375" customWidth="1"/>
    <col min="17" max="17" width="15.77734375" customWidth="1"/>
    <col min="18" max="18" width="13.77734375" customWidth="1"/>
    <col min="19" max="19" width="15.77734375" customWidth="1"/>
    <col min="20" max="20" width="13.77734375" customWidth="1"/>
    <col min="21" max="21" width="15.77734375" customWidth="1"/>
    <col min="22" max="22" width="13.77734375" customWidth="1"/>
    <col min="23" max="23" width="15.88671875" customWidth="1"/>
    <col min="24" max="24" width="13.77734375" style="4" customWidth="1"/>
    <col min="25" max="25" width="15.77734375" style="4" customWidth="1"/>
    <col min="26" max="26" width="13.77734375" style="4" customWidth="1"/>
    <col min="27" max="27" width="15.77734375" style="4" customWidth="1"/>
    <col min="28" max="28" width="13.6640625" style="4" customWidth="1"/>
    <col min="29" max="29" width="15.77734375" style="4" customWidth="1"/>
    <col min="30" max="30" width="13.77734375" style="4" customWidth="1"/>
    <col min="31" max="31" width="15.77734375" style="4" customWidth="1"/>
    <col min="32" max="32" width="13.77734375" style="4" customWidth="1"/>
    <col min="33" max="33" width="15.77734375" style="4" customWidth="1"/>
    <col min="34" max="34" width="13.77734375" style="4" customWidth="1"/>
    <col min="35" max="35" width="15.77734375" style="4" customWidth="1"/>
    <col min="36" max="36" width="13.88671875" style="4" customWidth="1"/>
    <col min="37" max="37" width="15.77734375" style="4" customWidth="1"/>
    <col min="38" max="38" width="13.77734375" style="4" customWidth="1"/>
    <col min="39" max="39" width="15.77734375" style="4" customWidth="1"/>
    <col min="40" max="40" width="13.77734375" style="4" customWidth="1"/>
    <col min="41" max="41" width="15.77734375" style="4" customWidth="1"/>
    <col min="42" max="42" width="13.77734375" customWidth="1"/>
    <col min="43" max="43" width="15.77734375" customWidth="1"/>
    <col min="44" max="44" width="13.6640625" customWidth="1"/>
    <col min="45" max="45" width="15.77734375" customWidth="1"/>
    <col min="46" max="46" width="13.77734375" customWidth="1"/>
    <col min="47" max="47" width="15.6640625" customWidth="1"/>
    <col min="48" max="48" width="13.77734375" style="52" customWidth="1"/>
    <col min="49" max="49" width="15.77734375" style="52" customWidth="1"/>
    <col min="50" max="50" width="13.77734375" style="52" customWidth="1"/>
    <col min="51" max="51" width="15.77734375" style="52" customWidth="1"/>
    <col min="52" max="52" width="13.88671875" style="4" customWidth="1"/>
    <col min="53" max="53" width="15.77734375" style="4" customWidth="1"/>
    <col min="54" max="54" width="13.77734375" customWidth="1"/>
    <col min="55" max="55" width="15.77734375" customWidth="1"/>
    <col min="56" max="56" width="13.77734375" customWidth="1"/>
    <col min="57" max="57" width="15.88671875" customWidth="1"/>
    <col min="58" max="58" width="13.77734375" style="4" customWidth="1"/>
    <col min="59" max="59" width="15.88671875" style="4" customWidth="1"/>
    <col min="60" max="60" width="13.77734375" customWidth="1"/>
    <col min="61" max="61" width="15.77734375" customWidth="1"/>
    <col min="62" max="62" width="13.77734375" customWidth="1"/>
    <col min="63" max="63" width="15.6640625" customWidth="1"/>
    <col min="64" max="64" width="13.77734375" customWidth="1"/>
    <col min="65" max="65" width="15.6640625" customWidth="1"/>
    <col min="66" max="66" width="14" customWidth="1"/>
    <col min="67" max="67" width="15.77734375" customWidth="1"/>
    <col min="68" max="68" width="13.77734375" customWidth="1"/>
    <col min="69" max="69" width="15.77734375" customWidth="1"/>
  </cols>
  <sheetData>
    <row r="1" spans="1:69" ht="22.8" customHeight="1" x14ac:dyDescent="0.3">
      <c r="A1" s="2" t="s">
        <v>0</v>
      </c>
    </row>
    <row r="3" spans="1:69" ht="15" thickBot="1" x14ac:dyDescent="0.35"/>
    <row r="4" spans="1:69" ht="57" customHeight="1" thickBot="1" x14ac:dyDescent="0.35">
      <c r="G4" s="21"/>
      <c r="H4" s="119" t="s">
        <v>143</v>
      </c>
      <c r="I4" s="120"/>
      <c r="J4" s="119" t="s">
        <v>144</v>
      </c>
      <c r="K4" s="120"/>
      <c r="L4" s="119" t="s">
        <v>145</v>
      </c>
      <c r="M4" s="120"/>
      <c r="N4" s="119" t="s">
        <v>146</v>
      </c>
      <c r="O4" s="120"/>
      <c r="P4" s="119" t="s">
        <v>147</v>
      </c>
      <c r="Q4" s="120"/>
      <c r="R4" s="119" t="s">
        <v>148</v>
      </c>
      <c r="S4" s="120"/>
      <c r="T4" s="124" t="s">
        <v>149</v>
      </c>
      <c r="U4" s="125"/>
      <c r="V4" s="124" t="s">
        <v>156</v>
      </c>
      <c r="W4" s="125"/>
      <c r="X4" s="124" t="s">
        <v>157</v>
      </c>
      <c r="Y4" s="125"/>
      <c r="Z4" s="124" t="s">
        <v>160</v>
      </c>
      <c r="AA4" s="125"/>
      <c r="AB4" s="119" t="s">
        <v>857</v>
      </c>
      <c r="AC4" s="121"/>
      <c r="AD4" s="119" t="s">
        <v>188</v>
      </c>
      <c r="AE4" s="120"/>
      <c r="AF4" s="122" t="s">
        <v>202</v>
      </c>
      <c r="AG4" s="123"/>
      <c r="AH4" s="119" t="s">
        <v>256</v>
      </c>
      <c r="AI4" s="120"/>
      <c r="AJ4" s="119" t="s">
        <v>330</v>
      </c>
      <c r="AK4" s="120"/>
      <c r="AL4" s="119" t="s">
        <v>412</v>
      </c>
      <c r="AM4" s="120"/>
      <c r="AN4" s="119" t="s">
        <v>414</v>
      </c>
      <c r="AO4" s="120"/>
      <c r="AP4" s="119" t="s">
        <v>421</v>
      </c>
      <c r="AQ4" s="120"/>
      <c r="AR4" s="119" t="s">
        <v>423</v>
      </c>
      <c r="AS4" s="120"/>
      <c r="AT4" s="119" t="s">
        <v>422</v>
      </c>
      <c r="AU4" s="120"/>
      <c r="AV4" s="119" t="s">
        <v>425</v>
      </c>
      <c r="AW4" s="120"/>
      <c r="AX4" s="119" t="s">
        <v>555</v>
      </c>
      <c r="AY4" s="120"/>
      <c r="AZ4" s="119" t="s">
        <v>602</v>
      </c>
      <c r="BA4" s="120"/>
      <c r="BB4" s="119" t="s">
        <v>604</v>
      </c>
      <c r="BC4" s="120"/>
      <c r="BD4" s="126" t="s">
        <v>605</v>
      </c>
      <c r="BE4" s="127"/>
      <c r="BF4" s="119" t="s">
        <v>608</v>
      </c>
      <c r="BG4" s="120"/>
      <c r="BH4" s="119" t="s">
        <v>662</v>
      </c>
      <c r="BI4" s="120"/>
      <c r="BJ4" s="119" t="s">
        <v>682</v>
      </c>
      <c r="BK4" s="120"/>
      <c r="BL4" s="119" t="s">
        <v>716</v>
      </c>
      <c r="BM4" s="120"/>
      <c r="BN4" s="119" t="s">
        <v>862</v>
      </c>
      <c r="BO4" s="120"/>
      <c r="BP4" s="119" t="s">
        <v>863</v>
      </c>
      <c r="BQ4" s="120"/>
    </row>
    <row r="5" spans="1:69" ht="43.8" customHeight="1" thickBot="1" x14ac:dyDescent="0.35">
      <c r="A5" s="3"/>
      <c r="B5" s="7" t="s">
        <v>1</v>
      </c>
      <c r="C5" s="61" t="s">
        <v>2</v>
      </c>
      <c r="D5" s="7" t="s">
        <v>3</v>
      </c>
      <c r="E5" s="7" t="s">
        <v>5</v>
      </c>
      <c r="F5" s="9" t="s">
        <v>6</v>
      </c>
      <c r="G5" s="7" t="s">
        <v>52</v>
      </c>
      <c r="H5" s="22" t="s">
        <v>7</v>
      </c>
      <c r="I5" s="22" t="s">
        <v>8</v>
      </c>
      <c r="J5" s="22" t="s">
        <v>7</v>
      </c>
      <c r="K5" s="22" t="s">
        <v>8</v>
      </c>
      <c r="L5" s="22" t="s">
        <v>7</v>
      </c>
      <c r="M5" s="22" t="s">
        <v>8</v>
      </c>
      <c r="N5" s="22" t="s">
        <v>7</v>
      </c>
      <c r="O5" s="22" t="s">
        <v>8</v>
      </c>
      <c r="P5" s="22" t="s">
        <v>7</v>
      </c>
      <c r="Q5" s="22" t="s">
        <v>8</v>
      </c>
      <c r="R5" s="22" t="s">
        <v>7</v>
      </c>
      <c r="S5" s="22" t="s">
        <v>8</v>
      </c>
      <c r="T5" s="22" t="s">
        <v>7</v>
      </c>
      <c r="U5" s="22" t="s">
        <v>8</v>
      </c>
      <c r="V5" s="22" t="s">
        <v>7</v>
      </c>
      <c r="W5" s="22" t="s">
        <v>8</v>
      </c>
      <c r="X5" s="22" t="s">
        <v>7</v>
      </c>
      <c r="Y5" s="22" t="s">
        <v>8</v>
      </c>
      <c r="Z5" s="22" t="s">
        <v>7</v>
      </c>
      <c r="AA5" s="22" t="s">
        <v>8</v>
      </c>
      <c r="AB5" s="22" t="s">
        <v>7</v>
      </c>
      <c r="AC5" s="22" t="s">
        <v>8</v>
      </c>
      <c r="AD5" s="22" t="s">
        <v>7</v>
      </c>
      <c r="AE5" s="22" t="s">
        <v>8</v>
      </c>
      <c r="AF5" s="22" t="s">
        <v>7</v>
      </c>
      <c r="AG5" s="22" t="s">
        <v>8</v>
      </c>
      <c r="AH5" s="22" t="s">
        <v>7</v>
      </c>
      <c r="AI5" s="22" t="s">
        <v>8</v>
      </c>
      <c r="AJ5" s="22" t="s">
        <v>7</v>
      </c>
      <c r="AK5" s="22" t="s">
        <v>150</v>
      </c>
      <c r="AL5" s="22" t="s">
        <v>7</v>
      </c>
      <c r="AM5" s="22" t="s">
        <v>8</v>
      </c>
      <c r="AN5" s="22" t="s">
        <v>7</v>
      </c>
      <c r="AO5" s="44" t="s">
        <v>8</v>
      </c>
      <c r="AP5" s="22" t="s">
        <v>7</v>
      </c>
      <c r="AQ5" s="44" t="s">
        <v>8</v>
      </c>
      <c r="AR5" s="22" t="s">
        <v>7</v>
      </c>
      <c r="AS5" s="22" t="s">
        <v>8</v>
      </c>
      <c r="AT5" s="22" t="s">
        <v>7</v>
      </c>
      <c r="AU5" s="22" t="s">
        <v>8</v>
      </c>
      <c r="AV5" s="22" t="s">
        <v>7</v>
      </c>
      <c r="AW5" s="22" t="s">
        <v>8</v>
      </c>
      <c r="AX5" s="22" t="s">
        <v>7</v>
      </c>
      <c r="AY5" s="22" t="s">
        <v>8</v>
      </c>
      <c r="AZ5" s="22" t="s">
        <v>7</v>
      </c>
      <c r="BA5" s="22" t="s">
        <v>8</v>
      </c>
      <c r="BB5" s="22" t="s">
        <v>7</v>
      </c>
      <c r="BC5" s="22" t="s">
        <v>8</v>
      </c>
      <c r="BD5" s="22" t="s">
        <v>7</v>
      </c>
      <c r="BE5" s="22" t="s">
        <v>8</v>
      </c>
      <c r="BF5" s="22" t="s">
        <v>7</v>
      </c>
      <c r="BG5" s="22" t="s">
        <v>8</v>
      </c>
      <c r="BH5" s="22" t="s">
        <v>7</v>
      </c>
      <c r="BI5" s="22" t="s">
        <v>8</v>
      </c>
      <c r="BJ5" s="22" t="s">
        <v>7</v>
      </c>
      <c r="BK5" s="22" t="s">
        <v>8</v>
      </c>
      <c r="BL5" s="22" t="s">
        <v>7</v>
      </c>
      <c r="BM5" s="22" t="s">
        <v>8</v>
      </c>
      <c r="BN5" s="22" t="s">
        <v>7</v>
      </c>
      <c r="BO5" s="22" t="s">
        <v>8</v>
      </c>
      <c r="BP5" s="22" t="s">
        <v>7</v>
      </c>
      <c r="BQ5" s="22" t="s">
        <v>8</v>
      </c>
    </row>
    <row r="6" spans="1:69" ht="43.2" customHeight="1" x14ac:dyDescent="0.3">
      <c r="A6" s="128" t="s">
        <v>988</v>
      </c>
      <c r="B6" s="111">
        <v>1</v>
      </c>
      <c r="C6" s="57" t="s">
        <v>9</v>
      </c>
      <c r="D6" s="5" t="s">
        <v>4</v>
      </c>
      <c r="E6" s="5">
        <v>3</v>
      </c>
      <c r="F6" s="12" t="s">
        <v>10</v>
      </c>
      <c r="G6" s="10" t="s">
        <v>55</v>
      </c>
      <c r="H6" s="17">
        <v>140</v>
      </c>
      <c r="I6" s="17">
        <f t="shared" ref="I6:I12" si="0">H6*E6</f>
        <v>420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5"/>
      <c r="Y6" s="5"/>
      <c r="Z6" s="5"/>
      <c r="AA6" s="5"/>
      <c r="AB6" s="5"/>
      <c r="AC6" s="5"/>
      <c r="AD6" s="20"/>
      <c r="AE6" s="20"/>
      <c r="AF6" s="5"/>
      <c r="AG6" s="5"/>
      <c r="AH6" s="5"/>
      <c r="AI6" s="5"/>
      <c r="AJ6" s="5"/>
      <c r="AK6" s="5"/>
      <c r="AL6" s="5"/>
      <c r="AM6" s="5"/>
      <c r="AN6" s="5"/>
      <c r="AO6" s="45"/>
      <c r="AP6" s="6"/>
      <c r="AQ6" s="50"/>
      <c r="AR6" s="6"/>
      <c r="AS6" s="6"/>
      <c r="AT6" s="6"/>
      <c r="AU6" s="6"/>
      <c r="AV6" s="7"/>
      <c r="AW6" s="7"/>
      <c r="AX6" s="7"/>
      <c r="AY6" s="7"/>
      <c r="AZ6" s="5"/>
      <c r="BA6" s="5"/>
      <c r="BB6" s="6"/>
      <c r="BC6" s="6"/>
      <c r="BD6" s="6"/>
      <c r="BE6" s="6"/>
      <c r="BF6" s="5"/>
      <c r="BG6" s="5"/>
      <c r="BH6" s="6"/>
      <c r="BI6" s="6"/>
      <c r="BJ6" s="6"/>
      <c r="BK6" s="6"/>
      <c r="BL6" s="6"/>
      <c r="BM6" s="6"/>
      <c r="BN6" s="6"/>
      <c r="BO6" s="6"/>
      <c r="BP6" s="6"/>
      <c r="BQ6" s="6"/>
    </row>
    <row r="7" spans="1:69" ht="43.2" x14ac:dyDescent="0.3">
      <c r="A7" s="129"/>
      <c r="B7" s="111">
        <v>2</v>
      </c>
      <c r="C7" s="57" t="s">
        <v>9</v>
      </c>
      <c r="D7" s="5" t="s">
        <v>4</v>
      </c>
      <c r="E7" s="5">
        <v>5</v>
      </c>
      <c r="F7" s="12" t="s">
        <v>11</v>
      </c>
      <c r="G7" s="10" t="s">
        <v>55</v>
      </c>
      <c r="H7" s="18">
        <v>66.5</v>
      </c>
      <c r="I7" s="17">
        <f t="shared" si="0"/>
        <v>332.5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5"/>
      <c r="Y7" s="5"/>
      <c r="Z7" s="5"/>
      <c r="AA7" s="5"/>
      <c r="AB7" s="5"/>
      <c r="AC7" s="5"/>
      <c r="AD7" s="20"/>
      <c r="AE7" s="20"/>
      <c r="AF7" s="5"/>
      <c r="AG7" s="5"/>
      <c r="AH7" s="5"/>
      <c r="AI7" s="5"/>
      <c r="AJ7" s="5"/>
      <c r="AK7" s="5"/>
      <c r="AL7" s="5"/>
      <c r="AM7" s="5"/>
      <c r="AN7" s="5"/>
      <c r="AO7" s="45"/>
      <c r="AP7" s="6"/>
      <c r="AQ7" s="50"/>
      <c r="AR7" s="6"/>
      <c r="AS7" s="6"/>
      <c r="AT7" s="6"/>
      <c r="AU7" s="6"/>
      <c r="AV7" s="7"/>
      <c r="AW7" s="7"/>
      <c r="AX7" s="7"/>
      <c r="AY7" s="7"/>
      <c r="AZ7" s="5"/>
      <c r="BA7" s="5"/>
      <c r="BB7" s="6"/>
      <c r="BC7" s="6"/>
      <c r="BD7" s="6"/>
      <c r="BE7" s="6"/>
      <c r="BF7" s="5"/>
      <c r="BG7" s="5"/>
      <c r="BH7" s="6"/>
      <c r="BI7" s="6"/>
      <c r="BJ7" s="6"/>
      <c r="BK7" s="6"/>
      <c r="BL7" s="6"/>
      <c r="BM7" s="6"/>
      <c r="BN7" s="6"/>
      <c r="BO7" s="6"/>
      <c r="BP7" s="6"/>
      <c r="BQ7" s="6"/>
    </row>
    <row r="8" spans="1:69" ht="43.2" x14ac:dyDescent="0.3">
      <c r="A8" s="129"/>
      <c r="B8" s="111">
        <v>3</v>
      </c>
      <c r="C8" s="55" t="s">
        <v>42</v>
      </c>
      <c r="D8" s="5" t="s">
        <v>4</v>
      </c>
      <c r="E8" s="5">
        <v>1</v>
      </c>
      <c r="F8" s="13" t="s">
        <v>43</v>
      </c>
      <c r="G8" s="10" t="s">
        <v>55</v>
      </c>
      <c r="H8" s="17">
        <v>611.79999999999995</v>
      </c>
      <c r="I8" s="17">
        <f t="shared" si="0"/>
        <v>611.79999999999995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5"/>
      <c r="Y8" s="5"/>
      <c r="Z8" s="5"/>
      <c r="AA8" s="5"/>
      <c r="AB8" s="5"/>
      <c r="AC8" s="5"/>
      <c r="AD8" s="20"/>
      <c r="AE8" s="20"/>
      <c r="AF8" s="5"/>
      <c r="AG8" s="5"/>
      <c r="AH8" s="5"/>
      <c r="AI8" s="5"/>
      <c r="AJ8" s="5"/>
      <c r="AK8" s="5"/>
      <c r="AL8" s="5"/>
      <c r="AM8" s="5"/>
      <c r="AN8" s="5"/>
      <c r="AO8" s="45"/>
      <c r="AP8" s="6"/>
      <c r="AQ8" s="50"/>
      <c r="AR8" s="6"/>
      <c r="AS8" s="6"/>
      <c r="AT8" s="6"/>
      <c r="AU8" s="6"/>
      <c r="AV8" s="7"/>
      <c r="AW8" s="7"/>
      <c r="AX8" s="7"/>
      <c r="AY8" s="7"/>
      <c r="AZ8" s="5"/>
      <c r="BA8" s="5"/>
      <c r="BB8" s="6"/>
      <c r="BC8" s="6"/>
      <c r="BD8" s="6"/>
      <c r="BE8" s="6"/>
      <c r="BF8" s="5"/>
      <c r="BG8" s="5"/>
      <c r="BH8" s="6"/>
      <c r="BI8" s="6"/>
      <c r="BJ8" s="6"/>
      <c r="BK8" s="6"/>
      <c r="BL8" s="6"/>
      <c r="BM8" s="6"/>
      <c r="BN8" s="6"/>
      <c r="BO8" s="6"/>
      <c r="BP8" s="6"/>
      <c r="BQ8" s="6"/>
    </row>
    <row r="9" spans="1:69" ht="43.2" x14ac:dyDescent="0.3">
      <c r="A9" s="129"/>
      <c r="B9" s="111">
        <v>4</v>
      </c>
      <c r="C9" s="57" t="s">
        <v>44</v>
      </c>
      <c r="D9" s="5" t="s">
        <v>4</v>
      </c>
      <c r="E9" s="5">
        <v>2</v>
      </c>
      <c r="F9" s="12" t="s">
        <v>45</v>
      </c>
      <c r="G9" s="10" t="s">
        <v>55</v>
      </c>
      <c r="H9" s="17">
        <v>199.9</v>
      </c>
      <c r="I9" s="17">
        <f t="shared" si="0"/>
        <v>399.8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5"/>
      <c r="Y9" s="5"/>
      <c r="Z9" s="5"/>
      <c r="AA9" s="5"/>
      <c r="AB9" s="5"/>
      <c r="AC9" s="5"/>
      <c r="AD9" s="20"/>
      <c r="AE9" s="20"/>
      <c r="AF9" s="5"/>
      <c r="AG9" s="5"/>
      <c r="AH9" s="5"/>
      <c r="AI9" s="5"/>
      <c r="AJ9" s="5"/>
      <c r="AK9" s="5"/>
      <c r="AL9" s="5"/>
      <c r="AM9" s="5"/>
      <c r="AN9" s="5"/>
      <c r="AO9" s="45"/>
      <c r="AP9" s="6"/>
      <c r="AQ9" s="50"/>
      <c r="AR9" s="6"/>
      <c r="AS9" s="6"/>
      <c r="AT9" s="6"/>
      <c r="AU9" s="6"/>
      <c r="AV9" s="7"/>
      <c r="AW9" s="7"/>
      <c r="AX9" s="7"/>
      <c r="AY9" s="7"/>
      <c r="AZ9" s="5"/>
      <c r="BA9" s="5"/>
      <c r="BB9" s="6"/>
      <c r="BC9" s="6"/>
      <c r="BD9" s="6"/>
      <c r="BE9" s="6"/>
      <c r="BF9" s="5"/>
      <c r="BG9" s="5"/>
      <c r="BH9" s="6"/>
      <c r="BI9" s="6"/>
      <c r="BJ9" s="6"/>
      <c r="BK9" s="6"/>
      <c r="BL9" s="6"/>
      <c r="BM9" s="6"/>
      <c r="BN9" s="6"/>
      <c r="BO9" s="6"/>
      <c r="BP9" s="6"/>
      <c r="BQ9" s="6"/>
    </row>
    <row r="10" spans="1:69" ht="43.2" x14ac:dyDescent="0.3">
      <c r="A10" s="129"/>
      <c r="B10" s="63">
        <v>5</v>
      </c>
      <c r="C10" s="57" t="s">
        <v>46</v>
      </c>
      <c r="D10" s="5" t="s">
        <v>4</v>
      </c>
      <c r="E10" s="5">
        <v>2</v>
      </c>
      <c r="F10" s="12" t="s">
        <v>47</v>
      </c>
      <c r="G10" s="8" t="s">
        <v>56</v>
      </c>
      <c r="H10" s="17">
        <v>100</v>
      </c>
      <c r="I10" s="17">
        <f t="shared" si="0"/>
        <v>200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5"/>
      <c r="Y10" s="5"/>
      <c r="Z10" s="5"/>
      <c r="AA10" s="5"/>
      <c r="AB10" s="5"/>
      <c r="AC10" s="5"/>
      <c r="AD10" s="20"/>
      <c r="AE10" s="20"/>
      <c r="AF10" s="5"/>
      <c r="AG10" s="5"/>
      <c r="AH10" s="5"/>
      <c r="AI10" s="5"/>
      <c r="AJ10" s="5"/>
      <c r="AK10" s="5"/>
      <c r="AL10" s="5"/>
      <c r="AM10" s="5"/>
      <c r="AN10" s="5"/>
      <c r="AO10" s="45"/>
      <c r="AP10" s="6"/>
      <c r="AQ10" s="50"/>
      <c r="AR10" s="6"/>
      <c r="AS10" s="6"/>
      <c r="AT10" s="6"/>
      <c r="AU10" s="6"/>
      <c r="AV10" s="7"/>
      <c r="AW10" s="7"/>
      <c r="AX10" s="7"/>
      <c r="AY10" s="7"/>
      <c r="AZ10" s="5"/>
      <c r="BA10" s="5"/>
      <c r="BB10" s="6"/>
      <c r="BC10" s="6"/>
      <c r="BD10" s="6"/>
      <c r="BE10" s="6"/>
      <c r="BF10" s="5"/>
      <c r="BG10" s="5"/>
      <c r="BH10" s="6"/>
      <c r="BI10" s="6"/>
      <c r="BJ10" s="6"/>
      <c r="BK10" s="6"/>
      <c r="BL10" s="6"/>
      <c r="BM10" s="6"/>
      <c r="BN10" s="6"/>
      <c r="BO10" s="6"/>
      <c r="BP10" s="6"/>
      <c r="BQ10" s="6"/>
    </row>
    <row r="11" spans="1:69" ht="43.2" x14ac:dyDescent="0.3">
      <c r="A11" s="129"/>
      <c r="B11" s="111">
        <v>6</v>
      </c>
      <c r="C11" s="57" t="s">
        <v>13</v>
      </c>
      <c r="D11" s="5" t="s">
        <v>4</v>
      </c>
      <c r="E11" s="5">
        <v>1</v>
      </c>
      <c r="F11" s="12" t="s">
        <v>12</v>
      </c>
      <c r="G11" s="10" t="s">
        <v>57</v>
      </c>
      <c r="H11" s="17">
        <v>399.9</v>
      </c>
      <c r="I11" s="17">
        <f t="shared" si="0"/>
        <v>399.9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5"/>
      <c r="Y11" s="5"/>
      <c r="Z11" s="5"/>
      <c r="AA11" s="5"/>
      <c r="AB11" s="5"/>
      <c r="AC11" s="5"/>
      <c r="AD11" s="20"/>
      <c r="AE11" s="20"/>
      <c r="AF11" s="5"/>
      <c r="AG11" s="5"/>
      <c r="AH11" s="5"/>
      <c r="AI11" s="5"/>
      <c r="AJ11" s="5"/>
      <c r="AK11" s="5"/>
      <c r="AL11" s="5"/>
      <c r="AM11" s="5"/>
      <c r="AN11" s="5"/>
      <c r="AO11" s="45"/>
      <c r="AP11" s="6"/>
      <c r="AQ11" s="50"/>
      <c r="AR11" s="6"/>
      <c r="AS11" s="6"/>
      <c r="AT11" s="6"/>
      <c r="AU11" s="6"/>
      <c r="AV11" s="7"/>
      <c r="AW11" s="7"/>
      <c r="AX11" s="7"/>
      <c r="AY11" s="7"/>
      <c r="AZ11" s="5"/>
      <c r="BA11" s="5"/>
      <c r="BB11" s="6"/>
      <c r="BC11" s="6"/>
      <c r="BD11" s="6"/>
      <c r="BE11" s="6"/>
      <c r="BF11" s="5"/>
      <c r="BG11" s="5"/>
      <c r="BH11" s="6"/>
      <c r="BI11" s="6"/>
      <c r="BJ11" s="6"/>
      <c r="BK11" s="6"/>
      <c r="BL11" s="6"/>
      <c r="BM11" s="6"/>
      <c r="BN11" s="6"/>
      <c r="BO11" s="6"/>
      <c r="BP11" s="6"/>
      <c r="BQ11" s="6"/>
    </row>
    <row r="12" spans="1:69" ht="72" x14ac:dyDescent="0.3">
      <c r="A12" s="129"/>
      <c r="B12" s="111">
        <v>7</v>
      </c>
      <c r="C12" s="57" t="s">
        <v>40</v>
      </c>
      <c r="D12" s="5" t="s">
        <v>4</v>
      </c>
      <c r="E12" s="5">
        <v>5</v>
      </c>
      <c r="F12" s="12" t="s">
        <v>41</v>
      </c>
      <c r="G12" s="8" t="s">
        <v>56</v>
      </c>
      <c r="H12" s="17">
        <v>189.99</v>
      </c>
      <c r="I12" s="17">
        <f t="shared" si="0"/>
        <v>949.95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5"/>
      <c r="Y12" s="5"/>
      <c r="Z12" s="5"/>
      <c r="AA12" s="5"/>
      <c r="AB12" s="5"/>
      <c r="AC12" s="5"/>
      <c r="AD12" s="20"/>
      <c r="AE12" s="20"/>
      <c r="AF12" s="5"/>
      <c r="AG12" s="5"/>
      <c r="AH12" s="5"/>
      <c r="AI12" s="5"/>
      <c r="AJ12" s="5"/>
      <c r="AK12" s="5"/>
      <c r="AL12" s="5"/>
      <c r="AM12" s="5"/>
      <c r="AN12" s="5"/>
      <c r="AO12" s="45"/>
      <c r="AP12" s="6"/>
      <c r="AQ12" s="50"/>
      <c r="AR12" s="6"/>
      <c r="AS12" s="6"/>
      <c r="AT12" s="6"/>
      <c r="AU12" s="6"/>
      <c r="AV12" s="7"/>
      <c r="AW12" s="7"/>
      <c r="AX12" s="7"/>
      <c r="AY12" s="7"/>
      <c r="AZ12" s="5"/>
      <c r="BA12" s="5"/>
      <c r="BB12" s="6"/>
      <c r="BC12" s="6"/>
      <c r="BD12" s="6"/>
      <c r="BE12" s="6"/>
      <c r="BF12" s="5"/>
      <c r="BG12" s="5"/>
      <c r="BH12" s="6"/>
      <c r="BI12" s="6"/>
      <c r="BJ12" s="6"/>
      <c r="BK12" s="6"/>
      <c r="BL12" s="6"/>
      <c r="BM12" s="6"/>
      <c r="BN12" s="6"/>
      <c r="BO12" s="6"/>
      <c r="BP12" s="6"/>
      <c r="BQ12" s="6"/>
    </row>
    <row r="13" spans="1:69" ht="28.8" x14ac:dyDescent="0.3">
      <c r="A13" s="129"/>
      <c r="B13" s="63">
        <v>8</v>
      </c>
      <c r="C13" s="57" t="s">
        <v>14</v>
      </c>
      <c r="D13" s="5" t="s">
        <v>4</v>
      </c>
      <c r="E13" s="5">
        <v>1</v>
      </c>
      <c r="F13" s="12" t="s">
        <v>15</v>
      </c>
      <c r="G13" s="8" t="s">
        <v>56</v>
      </c>
      <c r="H13" s="6"/>
      <c r="I13" s="19"/>
      <c r="J13" s="17">
        <v>225</v>
      </c>
      <c r="K13" s="17">
        <f t="shared" ref="K13:K20" si="1">J13*E13</f>
        <v>225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5"/>
      <c r="Y13" s="5"/>
      <c r="Z13" s="5"/>
      <c r="AA13" s="5"/>
      <c r="AB13" s="5"/>
      <c r="AC13" s="5"/>
      <c r="AD13" s="20"/>
      <c r="AE13" s="20"/>
      <c r="AF13" s="5"/>
      <c r="AG13" s="5"/>
      <c r="AH13" s="5"/>
      <c r="AI13" s="5"/>
      <c r="AJ13" s="5"/>
      <c r="AK13" s="5"/>
      <c r="AL13" s="5"/>
      <c r="AM13" s="5"/>
      <c r="AN13" s="5"/>
      <c r="AO13" s="45"/>
      <c r="AP13" s="6"/>
      <c r="AQ13" s="50"/>
      <c r="AR13" s="6"/>
      <c r="AS13" s="6"/>
      <c r="AT13" s="6"/>
      <c r="AU13" s="6"/>
      <c r="AV13" s="7"/>
      <c r="AW13" s="7"/>
      <c r="AX13" s="7"/>
      <c r="AY13" s="7"/>
      <c r="AZ13" s="5"/>
      <c r="BA13" s="5"/>
      <c r="BB13" s="6"/>
      <c r="BC13" s="6"/>
      <c r="BD13" s="6"/>
      <c r="BE13" s="6"/>
      <c r="BF13" s="5"/>
      <c r="BG13" s="5"/>
      <c r="BH13" s="6"/>
      <c r="BI13" s="6"/>
      <c r="BJ13" s="6"/>
      <c r="BK13" s="6"/>
      <c r="BL13" s="6"/>
      <c r="BM13" s="6"/>
      <c r="BN13" s="6"/>
      <c r="BO13" s="6"/>
      <c r="BP13" s="6"/>
      <c r="BQ13" s="6"/>
    </row>
    <row r="14" spans="1:69" ht="28.8" x14ac:dyDescent="0.3">
      <c r="A14" s="129"/>
      <c r="B14" s="63">
        <v>9</v>
      </c>
      <c r="C14" s="57" t="s">
        <v>17</v>
      </c>
      <c r="D14" s="5" t="s">
        <v>4</v>
      </c>
      <c r="E14" s="5">
        <v>1</v>
      </c>
      <c r="F14" s="12" t="s">
        <v>16</v>
      </c>
      <c r="G14" s="8" t="s">
        <v>56</v>
      </c>
      <c r="H14" s="6"/>
      <c r="I14" s="19"/>
      <c r="J14" s="17">
        <v>225</v>
      </c>
      <c r="K14" s="17">
        <f t="shared" si="1"/>
        <v>225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5"/>
      <c r="Y14" s="5"/>
      <c r="Z14" s="5"/>
      <c r="AA14" s="5"/>
      <c r="AB14" s="5"/>
      <c r="AC14" s="5"/>
      <c r="AD14" s="20"/>
      <c r="AE14" s="20"/>
      <c r="AF14" s="5"/>
      <c r="AG14" s="5"/>
      <c r="AH14" s="5"/>
      <c r="AI14" s="5"/>
      <c r="AJ14" s="5"/>
      <c r="AK14" s="5"/>
      <c r="AL14" s="5"/>
      <c r="AM14" s="5"/>
      <c r="AN14" s="5"/>
      <c r="AO14" s="45"/>
      <c r="AP14" s="6"/>
      <c r="AQ14" s="50"/>
      <c r="AR14" s="6"/>
      <c r="AS14" s="6"/>
      <c r="AT14" s="6"/>
      <c r="AU14" s="6"/>
      <c r="AV14" s="7"/>
      <c r="AW14" s="7"/>
      <c r="AX14" s="7"/>
      <c r="AY14" s="7"/>
      <c r="AZ14" s="5"/>
      <c r="BA14" s="5"/>
      <c r="BB14" s="6"/>
      <c r="BC14" s="6"/>
      <c r="BD14" s="6"/>
      <c r="BE14" s="6"/>
      <c r="BF14" s="5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</row>
    <row r="15" spans="1:69" ht="28.8" x14ac:dyDescent="0.3">
      <c r="A15" s="129"/>
      <c r="B15" s="63">
        <v>10</v>
      </c>
      <c r="C15" s="57" t="s">
        <v>19</v>
      </c>
      <c r="D15" s="5" t="s">
        <v>4</v>
      </c>
      <c r="E15" s="5">
        <v>1</v>
      </c>
      <c r="F15" s="12" t="s">
        <v>18</v>
      </c>
      <c r="G15" s="8" t="s">
        <v>56</v>
      </c>
      <c r="H15" s="6"/>
      <c r="I15" s="19"/>
      <c r="J15" s="17">
        <v>225</v>
      </c>
      <c r="K15" s="17">
        <f t="shared" si="1"/>
        <v>225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5"/>
      <c r="Y15" s="5"/>
      <c r="Z15" s="5"/>
      <c r="AA15" s="5"/>
      <c r="AB15" s="5"/>
      <c r="AC15" s="5"/>
      <c r="AD15" s="20"/>
      <c r="AE15" s="20"/>
      <c r="AF15" s="5"/>
      <c r="AG15" s="5"/>
      <c r="AH15" s="5"/>
      <c r="AI15" s="5"/>
      <c r="AJ15" s="5"/>
      <c r="AK15" s="5"/>
      <c r="AL15" s="5"/>
      <c r="AM15" s="5"/>
      <c r="AN15" s="5"/>
      <c r="AO15" s="45"/>
      <c r="AP15" s="6"/>
      <c r="AQ15" s="50"/>
      <c r="AR15" s="6"/>
      <c r="AS15" s="6"/>
      <c r="AT15" s="6"/>
      <c r="AU15" s="6"/>
      <c r="AV15" s="7"/>
      <c r="AW15" s="7"/>
      <c r="AX15" s="7"/>
      <c r="AY15" s="7"/>
      <c r="AZ15" s="5"/>
      <c r="BA15" s="5"/>
      <c r="BB15" s="6"/>
      <c r="BC15" s="6"/>
      <c r="BD15" s="6"/>
      <c r="BE15" s="6"/>
      <c r="BF15" s="5"/>
      <c r="BG15" s="5"/>
      <c r="BH15" s="6"/>
      <c r="BI15" s="6"/>
      <c r="BJ15" s="6"/>
      <c r="BK15" s="6"/>
      <c r="BL15" s="6"/>
      <c r="BM15" s="6"/>
      <c r="BN15" s="6"/>
      <c r="BO15" s="6"/>
      <c r="BP15" s="6"/>
      <c r="BQ15" s="6"/>
    </row>
    <row r="16" spans="1:69" ht="28.8" x14ac:dyDescent="0.3">
      <c r="A16" s="129"/>
      <c r="B16" s="63">
        <v>11</v>
      </c>
      <c r="C16" s="57" t="s">
        <v>21</v>
      </c>
      <c r="D16" s="5" t="s">
        <v>4</v>
      </c>
      <c r="E16" s="5">
        <v>1</v>
      </c>
      <c r="F16" s="12" t="s">
        <v>20</v>
      </c>
      <c r="G16" s="8" t="s">
        <v>56</v>
      </c>
      <c r="H16" s="6"/>
      <c r="I16" s="6"/>
      <c r="J16" s="17">
        <v>225</v>
      </c>
      <c r="K16" s="17">
        <f t="shared" si="1"/>
        <v>225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5"/>
      <c r="Y16" s="5"/>
      <c r="Z16" s="5"/>
      <c r="AA16" s="5"/>
      <c r="AB16" s="5"/>
      <c r="AC16" s="5"/>
      <c r="AD16" s="20"/>
      <c r="AE16" s="20"/>
      <c r="AF16" s="5"/>
      <c r="AG16" s="5"/>
      <c r="AH16" s="5"/>
      <c r="AI16" s="5"/>
      <c r="AJ16" s="5"/>
      <c r="AK16" s="5"/>
      <c r="AL16" s="5"/>
      <c r="AM16" s="5"/>
      <c r="AN16" s="5"/>
      <c r="AO16" s="45"/>
      <c r="AP16" s="6"/>
      <c r="AQ16" s="50"/>
      <c r="AR16" s="6"/>
      <c r="AS16" s="6"/>
      <c r="AT16" s="6"/>
      <c r="AU16" s="6"/>
      <c r="AV16" s="7"/>
      <c r="AW16" s="7"/>
      <c r="AX16" s="7"/>
      <c r="AY16" s="7"/>
      <c r="AZ16" s="5"/>
      <c r="BA16" s="5"/>
      <c r="BB16" s="6"/>
      <c r="BC16" s="6"/>
      <c r="BD16" s="6"/>
      <c r="BE16" s="6"/>
      <c r="BF16" s="5"/>
      <c r="BG16" s="5"/>
      <c r="BH16" s="6"/>
      <c r="BI16" s="6"/>
      <c r="BJ16" s="6"/>
      <c r="BK16" s="6"/>
      <c r="BL16" s="6"/>
      <c r="BM16" s="6"/>
      <c r="BN16" s="6"/>
      <c r="BO16" s="6"/>
      <c r="BP16" s="6"/>
      <c r="BQ16" s="6"/>
    </row>
    <row r="17" spans="1:69" ht="28.8" x14ac:dyDescent="0.3">
      <c r="A17" s="129"/>
      <c r="B17" s="63">
        <v>12</v>
      </c>
      <c r="C17" s="57" t="s">
        <v>22</v>
      </c>
      <c r="D17" s="5" t="s">
        <v>4</v>
      </c>
      <c r="E17" s="5">
        <v>1</v>
      </c>
      <c r="F17" s="12" t="s">
        <v>23</v>
      </c>
      <c r="G17" s="8" t="s">
        <v>56</v>
      </c>
      <c r="H17" s="6"/>
      <c r="I17" s="6"/>
      <c r="J17" s="17">
        <v>269</v>
      </c>
      <c r="K17" s="17">
        <f t="shared" si="1"/>
        <v>269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5"/>
      <c r="Y17" s="5"/>
      <c r="Z17" s="5"/>
      <c r="AA17" s="5"/>
      <c r="AB17" s="5"/>
      <c r="AC17" s="5"/>
      <c r="AD17" s="20"/>
      <c r="AE17" s="20"/>
      <c r="AF17" s="5"/>
      <c r="AG17" s="5"/>
      <c r="AH17" s="5"/>
      <c r="AI17" s="5"/>
      <c r="AJ17" s="5"/>
      <c r="AK17" s="5"/>
      <c r="AL17" s="5"/>
      <c r="AM17" s="5"/>
      <c r="AN17" s="5"/>
      <c r="AO17" s="45"/>
      <c r="AP17" s="6"/>
      <c r="AQ17" s="50"/>
      <c r="AR17" s="6"/>
      <c r="AS17" s="6"/>
      <c r="AT17" s="6"/>
      <c r="AU17" s="6"/>
      <c r="AV17" s="7"/>
      <c r="AW17" s="7"/>
      <c r="AX17" s="7"/>
      <c r="AY17" s="7"/>
      <c r="AZ17" s="5"/>
      <c r="BA17" s="5"/>
      <c r="BB17" s="6"/>
      <c r="BC17" s="6"/>
      <c r="BD17" s="6"/>
      <c r="BE17" s="6"/>
      <c r="BF17" s="5"/>
      <c r="BG17" s="5"/>
      <c r="BH17" s="6"/>
      <c r="BI17" s="6"/>
      <c r="BJ17" s="6"/>
      <c r="BK17" s="6"/>
      <c r="BL17" s="6"/>
      <c r="BM17" s="6"/>
      <c r="BN17" s="6"/>
      <c r="BO17" s="6"/>
      <c r="BP17" s="6"/>
      <c r="BQ17" s="6"/>
    </row>
    <row r="18" spans="1:69" ht="28.8" x14ac:dyDescent="0.3">
      <c r="A18" s="129"/>
      <c r="B18" s="63">
        <v>13</v>
      </c>
      <c r="C18" s="57" t="s">
        <v>25</v>
      </c>
      <c r="D18" s="5" t="s">
        <v>4</v>
      </c>
      <c r="E18" s="5">
        <v>1</v>
      </c>
      <c r="F18" s="12" t="s">
        <v>24</v>
      </c>
      <c r="G18" s="8" t="s">
        <v>56</v>
      </c>
      <c r="H18" s="6"/>
      <c r="I18" s="6"/>
      <c r="J18" s="17">
        <v>225</v>
      </c>
      <c r="K18" s="17">
        <f t="shared" si="1"/>
        <v>225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5"/>
      <c r="Y18" s="5"/>
      <c r="Z18" s="5"/>
      <c r="AA18" s="5"/>
      <c r="AB18" s="5"/>
      <c r="AC18" s="5"/>
      <c r="AD18" s="20"/>
      <c r="AE18" s="20"/>
      <c r="AF18" s="5"/>
      <c r="AG18" s="5"/>
      <c r="AH18" s="5"/>
      <c r="AI18" s="5"/>
      <c r="AJ18" s="5"/>
      <c r="AK18" s="5"/>
      <c r="AL18" s="5"/>
      <c r="AM18" s="5"/>
      <c r="AN18" s="5"/>
      <c r="AO18" s="45"/>
      <c r="AP18" s="6"/>
      <c r="AQ18" s="50"/>
      <c r="AR18" s="6"/>
      <c r="AS18" s="6"/>
      <c r="AT18" s="6"/>
      <c r="AU18" s="6"/>
      <c r="AV18" s="7"/>
      <c r="AW18" s="7"/>
      <c r="AX18" s="7"/>
      <c r="AY18" s="7"/>
      <c r="AZ18" s="5"/>
      <c r="BA18" s="5"/>
      <c r="BB18" s="6"/>
      <c r="BC18" s="6"/>
      <c r="BD18" s="6"/>
      <c r="BE18" s="6"/>
      <c r="BF18" s="5"/>
      <c r="BG18" s="5"/>
      <c r="BH18" s="6"/>
      <c r="BI18" s="6"/>
      <c r="BJ18" s="6"/>
      <c r="BK18" s="6"/>
      <c r="BL18" s="6"/>
      <c r="BM18" s="6"/>
      <c r="BN18" s="6"/>
      <c r="BO18" s="6"/>
      <c r="BP18" s="6"/>
      <c r="BQ18" s="6"/>
    </row>
    <row r="19" spans="1:69" ht="28.8" x14ac:dyDescent="0.3">
      <c r="A19" s="129"/>
      <c r="B19" s="63">
        <v>14</v>
      </c>
      <c r="C19" s="57" t="s">
        <v>27</v>
      </c>
      <c r="D19" s="5" t="s">
        <v>4</v>
      </c>
      <c r="E19" s="5">
        <v>1</v>
      </c>
      <c r="F19" s="12" t="s">
        <v>26</v>
      </c>
      <c r="G19" s="8" t="s">
        <v>56</v>
      </c>
      <c r="H19" s="6"/>
      <c r="I19" s="6"/>
      <c r="J19" s="17">
        <v>225</v>
      </c>
      <c r="K19" s="17">
        <f t="shared" si="1"/>
        <v>225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5"/>
      <c r="Y19" s="5"/>
      <c r="Z19" s="5"/>
      <c r="AA19" s="5"/>
      <c r="AB19" s="5"/>
      <c r="AC19" s="5"/>
      <c r="AD19" s="20"/>
      <c r="AE19" s="20"/>
      <c r="AF19" s="5"/>
      <c r="AG19" s="5"/>
      <c r="AH19" s="5"/>
      <c r="AI19" s="5"/>
      <c r="AJ19" s="5"/>
      <c r="AK19" s="5"/>
      <c r="AL19" s="5"/>
      <c r="AM19" s="5"/>
      <c r="AN19" s="5"/>
      <c r="AO19" s="45"/>
      <c r="AP19" s="6"/>
      <c r="AQ19" s="50"/>
      <c r="AR19" s="6"/>
      <c r="AS19" s="6"/>
      <c r="AT19" s="6"/>
      <c r="AU19" s="6"/>
      <c r="AV19" s="7"/>
      <c r="AW19" s="7"/>
      <c r="AX19" s="7"/>
      <c r="AY19" s="7"/>
      <c r="AZ19" s="5"/>
      <c r="BA19" s="5"/>
      <c r="BB19" s="6"/>
      <c r="BC19" s="6"/>
      <c r="BD19" s="6"/>
      <c r="BE19" s="6"/>
      <c r="BF19" s="5"/>
      <c r="BG19" s="5"/>
      <c r="BH19" s="6"/>
      <c r="BI19" s="6"/>
      <c r="BJ19" s="6"/>
      <c r="BK19" s="6"/>
      <c r="BL19" s="6"/>
      <c r="BM19" s="6"/>
      <c r="BN19" s="6"/>
      <c r="BO19" s="6"/>
      <c r="BP19" s="6"/>
      <c r="BQ19" s="6"/>
    </row>
    <row r="20" spans="1:69" ht="28.8" x14ac:dyDescent="0.3">
      <c r="A20" s="129"/>
      <c r="B20" s="63">
        <v>15</v>
      </c>
      <c r="C20" s="57" t="s">
        <v>29</v>
      </c>
      <c r="D20" s="5" t="s">
        <v>4</v>
      </c>
      <c r="E20" s="5">
        <v>1</v>
      </c>
      <c r="F20" s="12" t="s">
        <v>28</v>
      </c>
      <c r="G20" s="8" t="s">
        <v>56</v>
      </c>
      <c r="H20" s="6"/>
      <c r="I20" s="6"/>
      <c r="J20" s="17">
        <v>245</v>
      </c>
      <c r="K20" s="17">
        <f t="shared" si="1"/>
        <v>245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5"/>
      <c r="Y20" s="5"/>
      <c r="Z20" s="5"/>
      <c r="AA20" s="5"/>
      <c r="AB20" s="5"/>
      <c r="AC20" s="5"/>
      <c r="AD20" s="20"/>
      <c r="AE20" s="20"/>
      <c r="AF20" s="5"/>
      <c r="AG20" s="5"/>
      <c r="AH20" s="5"/>
      <c r="AI20" s="5"/>
      <c r="AJ20" s="5"/>
      <c r="AK20" s="5"/>
      <c r="AL20" s="5"/>
      <c r="AM20" s="5"/>
      <c r="AN20" s="5"/>
      <c r="AO20" s="45"/>
      <c r="AP20" s="6"/>
      <c r="AQ20" s="50"/>
      <c r="AR20" s="6"/>
      <c r="AS20" s="6"/>
      <c r="AT20" s="6"/>
      <c r="AU20" s="6"/>
      <c r="AV20" s="7"/>
      <c r="AW20" s="7"/>
      <c r="AX20" s="7"/>
      <c r="AY20" s="7"/>
      <c r="AZ20" s="5"/>
      <c r="BA20" s="5"/>
      <c r="BB20" s="6"/>
      <c r="BC20" s="6"/>
      <c r="BD20" s="6"/>
      <c r="BE20" s="6"/>
      <c r="BF20" s="5"/>
      <c r="BG20" s="5"/>
      <c r="BH20" s="6"/>
      <c r="BI20" s="6"/>
      <c r="BJ20" s="6"/>
      <c r="BK20" s="6"/>
      <c r="BL20" s="6"/>
      <c r="BM20" s="6"/>
      <c r="BN20" s="6"/>
      <c r="BO20" s="6"/>
      <c r="BP20" s="6"/>
      <c r="BQ20" s="6"/>
    </row>
    <row r="21" spans="1:69" ht="28.8" x14ac:dyDescent="0.3">
      <c r="A21" s="129"/>
      <c r="B21" s="117">
        <v>16</v>
      </c>
      <c r="C21" s="57" t="s">
        <v>80</v>
      </c>
      <c r="D21" s="5" t="s">
        <v>4</v>
      </c>
      <c r="E21" s="5">
        <v>24</v>
      </c>
      <c r="F21" s="12" t="s">
        <v>30</v>
      </c>
      <c r="G21" s="8" t="s">
        <v>56</v>
      </c>
      <c r="H21" s="6"/>
      <c r="I21" s="6"/>
      <c r="J21" s="6"/>
      <c r="K21" s="6"/>
      <c r="L21" s="17" t="s">
        <v>989</v>
      </c>
      <c r="M21" s="17">
        <v>107</v>
      </c>
      <c r="N21" s="6" t="s">
        <v>1005</v>
      </c>
      <c r="O21" s="6"/>
      <c r="P21" s="6"/>
      <c r="Q21" s="6"/>
      <c r="R21" s="6"/>
      <c r="S21" s="6"/>
      <c r="T21" s="6"/>
      <c r="U21" s="6"/>
      <c r="V21" s="6"/>
      <c r="W21" s="6"/>
      <c r="X21" s="5"/>
      <c r="Y21" s="5"/>
      <c r="Z21" s="5"/>
      <c r="AA21" s="5"/>
      <c r="AB21" s="5"/>
      <c r="AC21" s="5"/>
      <c r="AD21" s="20"/>
      <c r="AE21" s="20"/>
      <c r="AF21" s="5"/>
      <c r="AG21" s="5"/>
      <c r="AH21" s="5"/>
      <c r="AI21" s="5"/>
      <c r="AJ21" s="5"/>
      <c r="AK21" s="5"/>
      <c r="AL21" s="5"/>
      <c r="AM21" s="5"/>
      <c r="AN21" s="5"/>
      <c r="AO21" s="45"/>
      <c r="AP21" s="6"/>
      <c r="AQ21" s="50"/>
      <c r="AR21" s="6"/>
      <c r="AS21" s="6"/>
      <c r="AT21" s="6"/>
      <c r="AU21" s="6"/>
      <c r="AV21" s="7"/>
      <c r="AW21" s="7"/>
      <c r="AX21" s="7"/>
      <c r="AY21" s="7"/>
      <c r="AZ21" s="5"/>
      <c r="BA21" s="5"/>
      <c r="BB21" s="6"/>
      <c r="BC21" s="6"/>
      <c r="BD21" s="6"/>
      <c r="BE21" s="6"/>
      <c r="BF21" s="5"/>
      <c r="BG21" s="5"/>
      <c r="BH21" s="6"/>
      <c r="BI21" s="6"/>
      <c r="BJ21" s="6"/>
      <c r="BK21" s="6"/>
      <c r="BL21" s="6"/>
      <c r="BM21" s="6"/>
      <c r="BN21" s="6"/>
      <c r="BO21" s="6"/>
      <c r="BP21" s="6"/>
      <c r="BQ21" s="6"/>
    </row>
    <row r="22" spans="1:69" ht="28.8" x14ac:dyDescent="0.3">
      <c r="A22" s="129"/>
      <c r="B22" s="111">
        <v>17</v>
      </c>
      <c r="C22" s="57" t="s">
        <v>31</v>
      </c>
      <c r="D22" s="5" t="s">
        <v>4</v>
      </c>
      <c r="E22" s="5">
        <v>5</v>
      </c>
      <c r="F22" s="12" t="s">
        <v>32</v>
      </c>
      <c r="G22" s="8" t="s">
        <v>56</v>
      </c>
      <c r="H22" s="17">
        <v>499</v>
      </c>
      <c r="I22" s="17">
        <f t="shared" ref="I22:I29" si="2">H22*E22</f>
        <v>2495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5"/>
      <c r="Y22" s="5"/>
      <c r="Z22" s="5"/>
      <c r="AA22" s="5"/>
      <c r="AB22" s="5"/>
      <c r="AC22" s="5"/>
      <c r="AD22" s="20"/>
      <c r="AE22" s="20"/>
      <c r="AF22" s="5"/>
      <c r="AG22" s="5"/>
      <c r="AH22" s="5"/>
      <c r="AI22" s="5"/>
      <c r="AJ22" s="5"/>
      <c r="AK22" s="5"/>
      <c r="AL22" s="5"/>
      <c r="AM22" s="5"/>
      <c r="AN22" s="5"/>
      <c r="AO22" s="45"/>
      <c r="AP22" s="6"/>
      <c r="AQ22" s="50"/>
      <c r="AR22" s="6"/>
      <c r="AS22" s="6"/>
      <c r="AT22" s="6"/>
      <c r="AU22" s="6"/>
      <c r="AV22" s="7"/>
      <c r="AW22" s="7"/>
      <c r="AX22" s="7"/>
      <c r="AY22" s="7"/>
      <c r="AZ22" s="5"/>
      <c r="BA22" s="5"/>
      <c r="BB22" s="6"/>
      <c r="BC22" s="6"/>
      <c r="BD22" s="6"/>
      <c r="BE22" s="6"/>
      <c r="BF22" s="5"/>
      <c r="BG22" s="5"/>
      <c r="BH22" s="6"/>
      <c r="BI22" s="6"/>
      <c r="BJ22" s="6"/>
      <c r="BK22" s="6"/>
      <c r="BL22" s="6"/>
      <c r="BM22" s="6"/>
      <c r="BN22" s="6"/>
      <c r="BO22" s="6"/>
      <c r="BP22" s="6"/>
      <c r="BQ22" s="6"/>
    </row>
    <row r="23" spans="1:69" ht="28.8" x14ac:dyDescent="0.3">
      <c r="A23" s="129"/>
      <c r="B23" s="111">
        <v>18</v>
      </c>
      <c r="C23" s="57" t="s">
        <v>31</v>
      </c>
      <c r="D23" s="5" t="s">
        <v>4</v>
      </c>
      <c r="E23" s="5">
        <v>5</v>
      </c>
      <c r="F23" s="12" t="s">
        <v>48</v>
      </c>
      <c r="G23" s="8" t="s">
        <v>56</v>
      </c>
      <c r="H23" s="17">
        <v>195</v>
      </c>
      <c r="I23" s="17">
        <f t="shared" si="2"/>
        <v>975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5"/>
      <c r="Y23" s="5"/>
      <c r="Z23" s="5"/>
      <c r="AA23" s="5"/>
      <c r="AB23" s="5"/>
      <c r="AC23" s="5"/>
      <c r="AD23" s="20"/>
      <c r="AE23" s="20"/>
      <c r="AF23" s="5"/>
      <c r="AG23" s="5"/>
      <c r="AH23" s="5"/>
      <c r="AI23" s="5"/>
      <c r="AJ23" s="5"/>
      <c r="AK23" s="5"/>
      <c r="AL23" s="5"/>
      <c r="AM23" s="5"/>
      <c r="AN23" s="5"/>
      <c r="AO23" s="45"/>
      <c r="AP23" s="6"/>
      <c r="AQ23" s="50"/>
      <c r="AR23" s="6"/>
      <c r="AS23" s="6"/>
      <c r="AT23" s="6"/>
      <c r="AU23" s="6"/>
      <c r="AV23" s="7"/>
      <c r="AW23" s="7"/>
      <c r="AX23" s="7"/>
      <c r="AY23" s="7"/>
      <c r="AZ23" s="5"/>
      <c r="BA23" s="5"/>
      <c r="BB23" s="6"/>
      <c r="BC23" s="6"/>
      <c r="BD23" s="6"/>
      <c r="BE23" s="6"/>
      <c r="BF23" s="5"/>
      <c r="BG23" s="5"/>
      <c r="BH23" s="6"/>
      <c r="BI23" s="6"/>
      <c r="BJ23" s="6"/>
      <c r="BK23" s="6"/>
      <c r="BL23" s="6"/>
      <c r="BM23" s="6"/>
      <c r="BN23" s="6"/>
      <c r="BO23" s="6"/>
      <c r="BP23" s="6"/>
      <c r="BQ23" s="6"/>
    </row>
    <row r="24" spans="1:69" ht="28.8" x14ac:dyDescent="0.3">
      <c r="A24" s="129"/>
      <c r="B24" s="111">
        <v>19</v>
      </c>
      <c r="C24" s="57" t="s">
        <v>31</v>
      </c>
      <c r="D24" s="5" t="s">
        <v>4</v>
      </c>
      <c r="E24" s="5">
        <v>5</v>
      </c>
      <c r="F24" s="12" t="s">
        <v>49</v>
      </c>
      <c r="G24" s="8" t="s">
        <v>56</v>
      </c>
      <c r="H24" s="17">
        <v>399</v>
      </c>
      <c r="I24" s="17">
        <f t="shared" si="2"/>
        <v>1995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5"/>
      <c r="Y24" s="5"/>
      <c r="Z24" s="5"/>
      <c r="AA24" s="5"/>
      <c r="AB24" s="5"/>
      <c r="AC24" s="5"/>
      <c r="AD24" s="20"/>
      <c r="AE24" s="20"/>
      <c r="AF24" s="5"/>
      <c r="AG24" s="5"/>
      <c r="AH24" s="5"/>
      <c r="AI24" s="5"/>
      <c r="AJ24" s="5"/>
      <c r="AK24" s="5"/>
      <c r="AL24" s="5"/>
      <c r="AM24" s="5"/>
      <c r="AN24" s="5"/>
      <c r="AO24" s="45"/>
      <c r="AP24" s="6"/>
      <c r="AQ24" s="50"/>
      <c r="AR24" s="6"/>
      <c r="AS24" s="6"/>
      <c r="AT24" s="6"/>
      <c r="AU24" s="6"/>
      <c r="AV24" s="7"/>
      <c r="AW24" s="7"/>
      <c r="AX24" s="7"/>
      <c r="AY24" s="7"/>
      <c r="AZ24" s="5"/>
      <c r="BA24" s="5"/>
      <c r="BB24" s="6"/>
      <c r="BC24" s="6"/>
      <c r="BD24" s="6"/>
      <c r="BE24" s="6"/>
      <c r="BF24" s="5"/>
      <c r="BG24" s="5"/>
      <c r="BH24" s="6"/>
      <c r="BI24" s="6"/>
      <c r="BJ24" s="6"/>
      <c r="BK24" s="6"/>
      <c r="BL24" s="6"/>
      <c r="BM24" s="6"/>
      <c r="BN24" s="6"/>
      <c r="BO24" s="6"/>
      <c r="BP24" s="6"/>
      <c r="BQ24" s="6"/>
    </row>
    <row r="25" spans="1:69" ht="28.8" x14ac:dyDescent="0.3">
      <c r="A25" s="129"/>
      <c r="B25" s="111">
        <v>20</v>
      </c>
      <c r="C25" s="57" t="s">
        <v>33</v>
      </c>
      <c r="D25" s="5" t="s">
        <v>4</v>
      </c>
      <c r="E25" s="5">
        <v>1</v>
      </c>
      <c r="F25" s="12" t="s">
        <v>34</v>
      </c>
      <c r="G25" s="8" t="s">
        <v>56</v>
      </c>
      <c r="H25" s="17">
        <v>787.48</v>
      </c>
      <c r="I25" s="17">
        <f t="shared" si="2"/>
        <v>787.48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5"/>
      <c r="Y25" s="5"/>
      <c r="Z25" s="5"/>
      <c r="AA25" s="5"/>
      <c r="AB25" s="5"/>
      <c r="AC25" s="5"/>
      <c r="AD25" s="20"/>
      <c r="AE25" s="20"/>
      <c r="AF25" s="5"/>
      <c r="AG25" s="5"/>
      <c r="AH25" s="5"/>
      <c r="AI25" s="5"/>
      <c r="AJ25" s="5"/>
      <c r="AK25" s="5"/>
      <c r="AL25" s="5"/>
      <c r="AM25" s="5"/>
      <c r="AN25" s="5"/>
      <c r="AO25" s="45"/>
      <c r="AP25" s="6"/>
      <c r="AQ25" s="50"/>
      <c r="AR25" s="6"/>
      <c r="AS25" s="6"/>
      <c r="AT25" s="6"/>
      <c r="AU25" s="6"/>
      <c r="AV25" s="7"/>
      <c r="AW25" s="7"/>
      <c r="AX25" s="7"/>
      <c r="AY25" s="7"/>
      <c r="AZ25" s="5"/>
      <c r="BA25" s="5"/>
      <c r="BB25" s="6"/>
      <c r="BC25" s="6"/>
      <c r="BD25" s="6"/>
      <c r="BE25" s="6"/>
      <c r="BF25" s="5"/>
      <c r="BG25" s="5"/>
      <c r="BH25" s="6"/>
      <c r="BI25" s="6"/>
      <c r="BJ25" s="6"/>
      <c r="BK25" s="6"/>
      <c r="BL25" s="6"/>
      <c r="BM25" s="6"/>
      <c r="BN25" s="6"/>
      <c r="BO25" s="6"/>
      <c r="BP25" s="6"/>
      <c r="BQ25" s="6"/>
    </row>
    <row r="26" spans="1:69" ht="43.2" x14ac:dyDescent="0.3">
      <c r="A26" s="129"/>
      <c r="B26" s="111">
        <v>21</v>
      </c>
      <c r="C26" s="57" t="s">
        <v>35</v>
      </c>
      <c r="D26" s="5" t="s">
        <v>4</v>
      </c>
      <c r="E26" s="5">
        <v>1</v>
      </c>
      <c r="F26" s="12" t="s">
        <v>36</v>
      </c>
      <c r="G26" s="8" t="s">
        <v>56</v>
      </c>
      <c r="H26" s="17">
        <v>784.34</v>
      </c>
      <c r="I26" s="17">
        <f t="shared" si="2"/>
        <v>784.34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5"/>
      <c r="Y26" s="5"/>
      <c r="Z26" s="5"/>
      <c r="AA26" s="5"/>
      <c r="AB26" s="5"/>
      <c r="AC26" s="5"/>
      <c r="AD26" s="20"/>
      <c r="AE26" s="20"/>
      <c r="AF26" s="5"/>
      <c r="AG26" s="5"/>
      <c r="AH26" s="5"/>
      <c r="AI26" s="5"/>
      <c r="AJ26" s="5"/>
      <c r="AK26" s="5"/>
      <c r="AL26" s="5"/>
      <c r="AM26" s="5"/>
      <c r="AN26" s="5"/>
      <c r="AO26" s="45"/>
      <c r="AP26" s="6"/>
      <c r="AQ26" s="50"/>
      <c r="AR26" s="6"/>
      <c r="AS26" s="6"/>
      <c r="AT26" s="6"/>
      <c r="AU26" s="6"/>
      <c r="AV26" s="7"/>
      <c r="AW26" s="7"/>
      <c r="AX26" s="7"/>
      <c r="AY26" s="7"/>
      <c r="AZ26" s="5"/>
      <c r="BA26" s="5"/>
      <c r="BB26" s="6"/>
      <c r="BC26" s="6"/>
      <c r="BD26" s="6"/>
      <c r="BE26" s="6"/>
      <c r="BF26" s="5"/>
      <c r="BG26" s="5"/>
      <c r="BH26" s="6"/>
      <c r="BI26" s="6"/>
      <c r="BJ26" s="6"/>
      <c r="BK26" s="6"/>
      <c r="BL26" s="6"/>
      <c r="BM26" s="6"/>
      <c r="BN26" s="6"/>
      <c r="BO26" s="6"/>
      <c r="BP26" s="6"/>
      <c r="BQ26" s="6"/>
    </row>
    <row r="27" spans="1:69" ht="43.2" customHeight="1" x14ac:dyDescent="0.3">
      <c r="A27" s="129"/>
      <c r="B27" s="111">
        <v>22</v>
      </c>
      <c r="C27" s="57" t="s">
        <v>37</v>
      </c>
      <c r="D27" s="5" t="s">
        <v>4</v>
      </c>
      <c r="E27" s="5">
        <v>5</v>
      </c>
      <c r="F27" s="12" t="s">
        <v>38</v>
      </c>
      <c r="G27" s="8" t="s">
        <v>56</v>
      </c>
      <c r="H27" s="17">
        <v>395</v>
      </c>
      <c r="I27" s="17">
        <f t="shared" si="2"/>
        <v>1975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5"/>
      <c r="Y27" s="5"/>
      <c r="Z27" s="5"/>
      <c r="AA27" s="5"/>
      <c r="AB27" s="5"/>
      <c r="AC27" s="5"/>
      <c r="AD27" s="20"/>
      <c r="AE27" s="20"/>
      <c r="AF27" s="5"/>
      <c r="AG27" s="5"/>
      <c r="AH27" s="5"/>
      <c r="AI27" s="5"/>
      <c r="AJ27" s="5"/>
      <c r="AK27" s="5"/>
      <c r="AL27" s="5"/>
      <c r="AM27" s="5"/>
      <c r="AN27" s="5"/>
      <c r="AO27" s="45"/>
      <c r="AP27" s="6"/>
      <c r="AQ27" s="50"/>
      <c r="AR27" s="6"/>
      <c r="AS27" s="6"/>
      <c r="AT27" s="6"/>
      <c r="AU27" s="6"/>
      <c r="AV27" s="7"/>
      <c r="AW27" s="7"/>
      <c r="AX27" s="7"/>
      <c r="AY27" s="7"/>
      <c r="AZ27" s="5"/>
      <c r="BA27" s="5"/>
      <c r="BB27" s="6"/>
      <c r="BC27" s="6"/>
      <c r="BD27" s="6"/>
      <c r="BE27" s="6"/>
      <c r="BF27" s="5"/>
      <c r="BG27" s="5"/>
      <c r="BH27" s="6"/>
      <c r="BI27" s="6"/>
      <c r="BJ27" s="6"/>
      <c r="BK27" s="6"/>
      <c r="BL27" s="6"/>
      <c r="BM27" s="6"/>
      <c r="BN27" s="6"/>
      <c r="BO27" s="6"/>
      <c r="BP27" s="6"/>
      <c r="BQ27" s="6"/>
    </row>
    <row r="28" spans="1:69" ht="43.2" x14ac:dyDescent="0.3">
      <c r="A28" s="129"/>
      <c r="B28" s="111">
        <v>23</v>
      </c>
      <c r="C28" s="57" t="s">
        <v>50</v>
      </c>
      <c r="D28" s="5" t="s">
        <v>4</v>
      </c>
      <c r="E28" s="5">
        <v>1</v>
      </c>
      <c r="F28" s="12" t="s">
        <v>51</v>
      </c>
      <c r="G28" s="10" t="s">
        <v>55</v>
      </c>
      <c r="H28" s="17">
        <v>1175.02</v>
      </c>
      <c r="I28" s="17">
        <f t="shared" si="2"/>
        <v>1175.02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5"/>
      <c r="Y28" s="5"/>
      <c r="Z28" s="5"/>
      <c r="AA28" s="5"/>
      <c r="AB28" s="5"/>
      <c r="AC28" s="5"/>
      <c r="AD28" s="20"/>
      <c r="AE28" s="20"/>
      <c r="AF28" s="5"/>
      <c r="AG28" s="5"/>
      <c r="AH28" s="5"/>
      <c r="AI28" s="5"/>
      <c r="AJ28" s="5"/>
      <c r="AK28" s="5"/>
      <c r="AL28" s="5"/>
      <c r="AM28" s="5"/>
      <c r="AN28" s="5"/>
      <c r="AO28" s="45"/>
      <c r="AP28" s="6"/>
      <c r="AQ28" s="50"/>
      <c r="AR28" s="6"/>
      <c r="AS28" s="6"/>
      <c r="AT28" s="6"/>
      <c r="AU28" s="6"/>
      <c r="AV28" s="7"/>
      <c r="AW28" s="7"/>
      <c r="AX28" s="7"/>
      <c r="AY28" s="7"/>
      <c r="AZ28" s="5"/>
      <c r="BA28" s="5"/>
      <c r="BB28" s="6"/>
      <c r="BC28" s="6"/>
      <c r="BD28" s="6"/>
      <c r="BE28" s="6"/>
      <c r="BF28" s="5"/>
      <c r="BG28" s="5"/>
      <c r="BH28" s="6"/>
      <c r="BI28" s="6"/>
      <c r="BJ28" s="6"/>
      <c r="BK28" s="6"/>
      <c r="BL28" s="6"/>
      <c r="BM28" s="6"/>
      <c r="BN28" s="6"/>
      <c r="BO28" s="6"/>
      <c r="BP28" s="6"/>
      <c r="BQ28" s="6"/>
    </row>
    <row r="29" spans="1:69" ht="43.2" x14ac:dyDescent="0.3">
      <c r="A29" s="129"/>
      <c r="B29" s="111">
        <v>24</v>
      </c>
      <c r="C29" s="57" t="s">
        <v>53</v>
      </c>
      <c r="D29" s="5" t="s">
        <v>4</v>
      </c>
      <c r="E29" s="5">
        <v>2</v>
      </c>
      <c r="F29" s="12" t="s">
        <v>54</v>
      </c>
      <c r="G29" s="8" t="s">
        <v>56</v>
      </c>
      <c r="H29" s="17">
        <v>829.9</v>
      </c>
      <c r="I29" s="17">
        <f t="shared" si="2"/>
        <v>1659.8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5"/>
      <c r="Y29" s="5"/>
      <c r="Z29" s="5"/>
      <c r="AA29" s="5"/>
      <c r="AB29" s="5"/>
      <c r="AC29" s="5"/>
      <c r="AD29" s="20"/>
      <c r="AE29" s="20"/>
      <c r="AF29" s="5"/>
      <c r="AG29" s="5"/>
      <c r="AH29" s="5"/>
      <c r="AI29" s="5"/>
      <c r="AJ29" s="5"/>
      <c r="AK29" s="5"/>
      <c r="AL29" s="5"/>
      <c r="AM29" s="5"/>
      <c r="AN29" s="5"/>
      <c r="AO29" s="45"/>
      <c r="AP29" s="6"/>
      <c r="AQ29" s="50"/>
      <c r="AR29" s="6"/>
      <c r="AS29" s="6"/>
      <c r="AT29" s="6"/>
      <c r="AU29" s="6"/>
      <c r="AV29" s="7"/>
      <c r="AW29" s="7"/>
      <c r="AX29" s="7"/>
      <c r="AY29" s="7"/>
      <c r="AZ29" s="5"/>
      <c r="BA29" s="5"/>
      <c r="BB29" s="6"/>
      <c r="BC29" s="6"/>
      <c r="BD29" s="6"/>
      <c r="BE29" s="6"/>
      <c r="BF29" s="5"/>
      <c r="BG29" s="5"/>
      <c r="BH29" s="6"/>
      <c r="BI29" s="6"/>
      <c r="BJ29" s="6"/>
      <c r="BK29" s="6"/>
      <c r="BL29" s="6"/>
      <c r="BM29" s="6"/>
      <c r="BN29" s="6"/>
      <c r="BO29" s="6"/>
      <c r="BP29" s="6"/>
      <c r="BQ29" s="6"/>
    </row>
    <row r="30" spans="1:69" ht="28.8" x14ac:dyDescent="0.3">
      <c r="A30" s="129"/>
      <c r="B30" s="63">
        <v>25</v>
      </c>
      <c r="C30" s="57" t="s">
        <v>72</v>
      </c>
      <c r="D30" s="5" t="s">
        <v>4</v>
      </c>
      <c r="E30" s="4">
        <v>2</v>
      </c>
      <c r="F30" s="14" t="s">
        <v>73</v>
      </c>
      <c r="G30" s="16" t="s">
        <v>87</v>
      </c>
      <c r="H30" s="19"/>
      <c r="I30" s="19"/>
      <c r="J30" s="6"/>
      <c r="K30" s="6"/>
      <c r="L30" s="6"/>
      <c r="M30" s="6"/>
      <c r="N30" s="17">
        <v>331.2</v>
      </c>
      <c r="O30" s="17">
        <f>N30*E30</f>
        <v>662.4</v>
      </c>
      <c r="P30" s="6"/>
      <c r="Q30" s="6"/>
      <c r="R30" s="6"/>
      <c r="S30" s="6"/>
      <c r="T30" s="6"/>
      <c r="U30" s="6"/>
      <c r="V30" s="6"/>
      <c r="W30" s="6"/>
      <c r="X30" s="5"/>
      <c r="Y30" s="5"/>
      <c r="Z30" s="5"/>
      <c r="AA30" s="5"/>
      <c r="AB30" s="5"/>
      <c r="AC30" s="5"/>
      <c r="AD30" s="20"/>
      <c r="AE30" s="20"/>
      <c r="AF30" s="5"/>
      <c r="AG30" s="5"/>
      <c r="AH30" s="5"/>
      <c r="AI30" s="5"/>
      <c r="AJ30" s="5"/>
      <c r="AK30" s="5"/>
      <c r="AL30" s="5"/>
      <c r="AM30" s="5"/>
      <c r="AN30" s="5"/>
      <c r="AO30" s="45"/>
      <c r="AP30" s="6"/>
      <c r="AQ30" s="50"/>
      <c r="AR30" s="6"/>
      <c r="AS30" s="6"/>
      <c r="AT30" s="6"/>
      <c r="AU30" s="6"/>
      <c r="AV30" s="7"/>
      <c r="AW30" s="7"/>
      <c r="AX30" s="7"/>
      <c r="AY30" s="7"/>
      <c r="AZ30" s="5"/>
      <c r="BA30" s="5"/>
      <c r="BB30" s="6"/>
      <c r="BC30" s="6"/>
      <c r="BD30" s="6"/>
      <c r="BE30" s="6"/>
      <c r="BF30" s="5"/>
      <c r="BG30" s="5"/>
      <c r="BH30" s="6"/>
      <c r="BI30" s="6"/>
      <c r="BJ30" s="6"/>
      <c r="BK30" s="6"/>
      <c r="BL30" s="6"/>
      <c r="BM30" s="6"/>
      <c r="BN30" s="6"/>
      <c r="BO30" s="6"/>
      <c r="BP30" s="6"/>
      <c r="BQ30" s="6"/>
    </row>
    <row r="31" spans="1:69" ht="28.8" x14ac:dyDescent="0.3">
      <c r="A31" s="129"/>
      <c r="B31" s="63">
        <v>26</v>
      </c>
      <c r="C31" s="57" t="s">
        <v>81</v>
      </c>
      <c r="D31" s="5" t="s">
        <v>4</v>
      </c>
      <c r="E31" s="5">
        <v>50</v>
      </c>
      <c r="F31" s="15" t="s">
        <v>84</v>
      </c>
      <c r="G31" s="16" t="s">
        <v>87</v>
      </c>
      <c r="H31" s="17" t="s">
        <v>1003</v>
      </c>
      <c r="I31" s="19"/>
      <c r="J31" s="6"/>
      <c r="K31" s="6"/>
      <c r="L31" s="6"/>
      <c r="M31" s="6"/>
      <c r="N31" s="17">
        <v>1.66</v>
      </c>
      <c r="O31" s="17">
        <f>N31*E31</f>
        <v>83</v>
      </c>
      <c r="P31" s="6"/>
      <c r="Q31" s="6"/>
      <c r="R31" s="6"/>
      <c r="S31" s="6"/>
      <c r="T31" s="6"/>
      <c r="U31" s="6"/>
      <c r="V31" s="6"/>
      <c r="W31" s="6"/>
      <c r="X31" s="5"/>
      <c r="Y31" s="5"/>
      <c r="Z31" s="5"/>
      <c r="AA31" s="5"/>
      <c r="AB31" s="5"/>
      <c r="AC31" s="5"/>
      <c r="AD31" s="20"/>
      <c r="AE31" s="20"/>
      <c r="AF31" s="5"/>
      <c r="AG31" s="5"/>
      <c r="AH31" s="5"/>
      <c r="AI31" s="5"/>
      <c r="AJ31" s="5"/>
      <c r="AK31" s="5"/>
      <c r="AL31" s="5"/>
      <c r="AM31" s="5"/>
      <c r="AN31" s="5"/>
      <c r="AO31" s="45"/>
      <c r="AP31" s="6"/>
      <c r="AQ31" s="50"/>
      <c r="AR31" s="6"/>
      <c r="AS31" s="6"/>
      <c r="AT31" s="6"/>
      <c r="AU31" s="6"/>
      <c r="AV31" s="7"/>
      <c r="AW31" s="7"/>
      <c r="AX31" s="7"/>
      <c r="AY31" s="7"/>
      <c r="AZ31" s="5"/>
      <c r="BA31" s="5"/>
      <c r="BB31" s="6"/>
      <c r="BC31" s="6"/>
      <c r="BD31" s="6"/>
      <c r="BE31" s="6"/>
      <c r="BF31" s="5"/>
      <c r="BG31" s="5"/>
      <c r="BH31" s="6"/>
      <c r="BI31" s="6"/>
      <c r="BJ31" s="6"/>
      <c r="BK31" s="6"/>
      <c r="BL31" s="6"/>
      <c r="BM31" s="6"/>
      <c r="BN31" s="6"/>
      <c r="BO31" s="6"/>
      <c r="BP31" s="6"/>
      <c r="BQ31" s="6"/>
    </row>
    <row r="32" spans="1:69" ht="28.8" x14ac:dyDescent="0.3">
      <c r="A32" s="129"/>
      <c r="B32" s="63">
        <v>27</v>
      </c>
      <c r="C32" s="57" t="s">
        <v>82</v>
      </c>
      <c r="D32" s="5" t="s">
        <v>4</v>
      </c>
      <c r="E32" s="5">
        <v>50</v>
      </c>
      <c r="F32" s="15" t="s">
        <v>85</v>
      </c>
      <c r="G32" s="16" t="s">
        <v>87</v>
      </c>
      <c r="H32" s="6"/>
      <c r="I32" s="6"/>
      <c r="J32" s="6"/>
      <c r="K32" s="6"/>
      <c r="L32" s="6"/>
      <c r="M32" s="6"/>
      <c r="N32" s="17">
        <v>1.66</v>
      </c>
      <c r="O32" s="17">
        <f>N32*E32</f>
        <v>83</v>
      </c>
      <c r="P32" s="6"/>
      <c r="Q32" s="6"/>
      <c r="R32" s="6"/>
      <c r="S32" s="6"/>
      <c r="T32" s="6"/>
      <c r="U32" s="6"/>
      <c r="V32" s="6"/>
      <c r="W32" s="6"/>
      <c r="X32" s="5"/>
      <c r="Y32" s="5"/>
      <c r="Z32" s="5"/>
      <c r="AA32" s="5"/>
      <c r="AB32" s="5"/>
      <c r="AC32" s="5"/>
      <c r="AD32" s="20"/>
      <c r="AE32" s="20"/>
      <c r="AF32" s="5"/>
      <c r="AG32" s="5"/>
      <c r="AH32" s="5"/>
      <c r="AI32" s="5"/>
      <c r="AJ32" s="5"/>
      <c r="AK32" s="5"/>
      <c r="AL32" s="5"/>
      <c r="AM32" s="5"/>
      <c r="AN32" s="5"/>
      <c r="AO32" s="45"/>
      <c r="AP32" s="6"/>
      <c r="AQ32" s="50"/>
      <c r="AR32" s="6"/>
      <c r="AS32" s="6"/>
      <c r="AT32" s="6"/>
      <c r="AU32" s="6"/>
      <c r="AV32" s="7"/>
      <c r="AW32" s="7"/>
      <c r="AX32" s="7"/>
      <c r="AY32" s="7"/>
      <c r="AZ32" s="5"/>
      <c r="BA32" s="5"/>
      <c r="BB32" s="6"/>
      <c r="BC32" s="6"/>
      <c r="BD32" s="6"/>
      <c r="BE32" s="6"/>
      <c r="BF32" s="5"/>
      <c r="BG32" s="5"/>
      <c r="BH32" s="6"/>
      <c r="BI32" s="6"/>
      <c r="BJ32" s="6"/>
      <c r="BK32" s="6"/>
      <c r="BL32" s="6"/>
      <c r="BM32" s="6"/>
      <c r="BN32" s="6"/>
      <c r="BO32" s="6"/>
      <c r="BP32" s="6"/>
      <c r="BQ32" s="6"/>
    </row>
    <row r="33" spans="1:69" ht="28.8" x14ac:dyDescent="0.3">
      <c r="A33" s="129"/>
      <c r="B33" s="63">
        <v>28</v>
      </c>
      <c r="C33" s="57" t="s">
        <v>83</v>
      </c>
      <c r="D33" s="5" t="s">
        <v>4</v>
      </c>
      <c r="E33" s="5">
        <v>50</v>
      </c>
      <c r="F33" s="15" t="s">
        <v>86</v>
      </c>
      <c r="G33" s="16" t="s">
        <v>87</v>
      </c>
      <c r="H33" s="6"/>
      <c r="I33" s="6"/>
      <c r="J33" s="6"/>
      <c r="K33" s="6"/>
      <c r="L33" s="6"/>
      <c r="M33" s="6"/>
      <c r="N33" s="17">
        <v>1.1000000000000001</v>
      </c>
      <c r="O33" s="17">
        <f>N33*E33</f>
        <v>55.000000000000007</v>
      </c>
      <c r="P33" s="6"/>
      <c r="Q33" s="6"/>
      <c r="R33" s="6"/>
      <c r="S33" s="6"/>
      <c r="T33" s="6"/>
      <c r="U33" s="6"/>
      <c r="V33" s="6"/>
      <c r="W33" s="6"/>
      <c r="X33" s="5"/>
      <c r="Y33" s="5"/>
      <c r="Z33" s="5"/>
      <c r="AA33" s="5"/>
      <c r="AB33" s="5"/>
      <c r="AC33" s="5"/>
      <c r="AD33" s="20"/>
      <c r="AE33" s="20"/>
      <c r="AF33" s="5"/>
      <c r="AG33" s="5"/>
      <c r="AH33" s="5"/>
      <c r="AI33" s="5"/>
      <c r="AJ33" s="5"/>
      <c r="AK33" s="5"/>
      <c r="AL33" s="5"/>
      <c r="AM33" s="5"/>
      <c r="AN33" s="5"/>
      <c r="AO33" s="45"/>
      <c r="AP33" s="6"/>
      <c r="AQ33" s="50"/>
      <c r="AR33" s="6"/>
      <c r="AS33" s="6"/>
      <c r="AT33" s="6"/>
      <c r="AU33" s="6"/>
      <c r="AV33" s="7"/>
      <c r="AW33" s="7"/>
      <c r="AX33" s="7"/>
      <c r="AY33" s="7"/>
      <c r="AZ33" s="5"/>
      <c r="BA33" s="5"/>
      <c r="BB33" s="6"/>
      <c r="BC33" s="6"/>
      <c r="BD33" s="6"/>
      <c r="BE33" s="6"/>
      <c r="BF33" s="5"/>
      <c r="BG33" s="5"/>
      <c r="BH33" s="6"/>
      <c r="BI33" s="6"/>
      <c r="BJ33" s="6"/>
      <c r="BK33" s="6"/>
      <c r="BL33" s="6"/>
      <c r="BM33" s="6"/>
      <c r="BN33" s="6"/>
      <c r="BO33" s="6"/>
      <c r="BP33" s="6"/>
      <c r="BQ33" s="6"/>
    </row>
    <row r="34" spans="1:69" ht="43.2" x14ac:dyDescent="0.3">
      <c r="A34" s="129"/>
      <c r="B34" s="63">
        <v>29</v>
      </c>
      <c r="C34" s="55" t="s">
        <v>74</v>
      </c>
      <c r="D34" s="5" t="s">
        <v>4</v>
      </c>
      <c r="E34" s="5">
        <v>10</v>
      </c>
      <c r="F34" s="15" t="s">
        <v>75</v>
      </c>
      <c r="G34" s="8" t="s">
        <v>56</v>
      </c>
      <c r="H34" s="17">
        <v>199</v>
      </c>
      <c r="I34" s="17">
        <f>H34*E34</f>
        <v>1990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5"/>
      <c r="Y34" s="5"/>
      <c r="Z34" s="5"/>
      <c r="AA34" s="5"/>
      <c r="AB34" s="5"/>
      <c r="AC34" s="5"/>
      <c r="AD34" s="20"/>
      <c r="AE34" s="20"/>
      <c r="AF34" s="5"/>
      <c r="AG34" s="5"/>
      <c r="AH34" s="5"/>
      <c r="AI34" s="5"/>
      <c r="AJ34" s="5"/>
      <c r="AK34" s="5"/>
      <c r="AL34" s="5"/>
      <c r="AM34" s="5"/>
      <c r="AN34" s="5"/>
      <c r="AO34" s="45"/>
      <c r="AP34" s="6"/>
      <c r="AQ34" s="50"/>
      <c r="AR34" s="6"/>
      <c r="AS34" s="6"/>
      <c r="AT34" s="6"/>
      <c r="AU34" s="6"/>
      <c r="AV34" s="7"/>
      <c r="AW34" s="7"/>
      <c r="AX34" s="7"/>
      <c r="AY34" s="7"/>
      <c r="AZ34" s="5"/>
      <c r="BA34" s="5"/>
      <c r="BB34" s="6"/>
      <c r="BC34" s="6"/>
      <c r="BD34" s="6"/>
      <c r="BE34" s="6"/>
      <c r="BF34" s="5"/>
      <c r="BG34" s="5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 spans="1:69" ht="28.8" customHeight="1" x14ac:dyDescent="0.3">
      <c r="A35" s="129"/>
      <c r="B35" s="111">
        <v>30</v>
      </c>
      <c r="C35" s="57" t="s">
        <v>76</v>
      </c>
      <c r="D35" s="5" t="s">
        <v>4</v>
      </c>
      <c r="E35" s="4">
        <v>3</v>
      </c>
      <c r="F35" s="14" t="s">
        <v>77</v>
      </c>
      <c r="G35" s="8" t="s">
        <v>56</v>
      </c>
      <c r="H35" s="17">
        <v>629.9</v>
      </c>
      <c r="I35" s="17">
        <f>H35*E35</f>
        <v>1889.6999999999998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5"/>
      <c r="Y35" s="5"/>
      <c r="Z35" s="5"/>
      <c r="AA35" s="5"/>
      <c r="AB35" s="5"/>
      <c r="AC35" s="5"/>
      <c r="AD35" s="20"/>
      <c r="AE35" s="20"/>
      <c r="AF35" s="5"/>
      <c r="AG35" s="5"/>
      <c r="AH35" s="5"/>
      <c r="AI35" s="5"/>
      <c r="AJ35" s="5"/>
      <c r="AK35" s="5"/>
      <c r="AL35" s="5"/>
      <c r="AM35" s="5"/>
      <c r="AN35" s="5"/>
      <c r="AO35" s="45"/>
      <c r="AP35" s="6"/>
      <c r="AQ35" s="50"/>
      <c r="AR35" s="6"/>
      <c r="AS35" s="6"/>
      <c r="AT35" s="6"/>
      <c r="AU35" s="6"/>
      <c r="AV35" s="7"/>
      <c r="AW35" s="7"/>
      <c r="AX35" s="7"/>
      <c r="AY35" s="7"/>
      <c r="AZ35" s="5"/>
      <c r="BA35" s="5"/>
      <c r="BB35" s="6"/>
      <c r="BC35" s="6"/>
      <c r="BD35" s="6"/>
      <c r="BE35" s="6"/>
      <c r="BF35" s="5"/>
      <c r="BG35" s="5"/>
      <c r="BH35" s="6"/>
      <c r="BI35" s="6"/>
      <c r="BJ35" s="6"/>
      <c r="BK35" s="6"/>
      <c r="BL35" s="6"/>
      <c r="BM35" s="6"/>
      <c r="BN35" s="6"/>
      <c r="BO35" s="6"/>
      <c r="BP35" s="6"/>
      <c r="BQ35" s="6"/>
    </row>
    <row r="36" spans="1:69" ht="28.8" customHeight="1" x14ac:dyDescent="0.3">
      <c r="A36" s="129"/>
      <c r="B36" s="111">
        <v>31</v>
      </c>
      <c r="C36" s="55" t="s">
        <v>79</v>
      </c>
      <c r="D36" s="25" t="s">
        <v>4</v>
      </c>
      <c r="E36" s="25">
        <v>5</v>
      </c>
      <c r="F36" s="14" t="s">
        <v>78</v>
      </c>
      <c r="G36" s="26" t="s">
        <v>56</v>
      </c>
      <c r="H36" s="27">
        <v>761.25</v>
      </c>
      <c r="I36" s="27">
        <f>H36*E36</f>
        <v>3806.25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5"/>
      <c r="Y36" s="25"/>
      <c r="Z36" s="25"/>
      <c r="AA36" s="25"/>
      <c r="AB36" s="25"/>
      <c r="AC36" s="25"/>
      <c r="AD36" s="29"/>
      <c r="AE36" s="29"/>
      <c r="AF36" s="25"/>
      <c r="AG36" s="25"/>
      <c r="AH36" s="25"/>
      <c r="AI36" s="25"/>
      <c r="AJ36" s="25"/>
      <c r="AK36" s="25"/>
      <c r="AL36" s="25"/>
      <c r="AM36" s="25"/>
      <c r="AN36" s="25"/>
      <c r="AO36" s="46"/>
      <c r="AP36" s="6"/>
      <c r="AQ36" s="50"/>
      <c r="AR36" s="6"/>
      <c r="AS36" s="6"/>
      <c r="AT36" s="6"/>
      <c r="AU36" s="6"/>
      <c r="AV36" s="7"/>
      <c r="AW36" s="7"/>
      <c r="AX36" s="7"/>
      <c r="AY36" s="7"/>
      <c r="AZ36" s="5"/>
      <c r="BA36" s="5"/>
      <c r="BB36" s="6"/>
      <c r="BC36" s="6"/>
      <c r="BD36" s="6"/>
      <c r="BE36" s="6"/>
      <c r="BF36" s="5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</row>
    <row r="37" spans="1:69" ht="28.8" x14ac:dyDescent="0.3">
      <c r="A37" s="129"/>
      <c r="B37" s="118">
        <v>32</v>
      </c>
      <c r="C37" s="57" t="s">
        <v>161</v>
      </c>
      <c r="D37" s="5" t="s">
        <v>4</v>
      </c>
      <c r="E37" s="5">
        <v>1</v>
      </c>
      <c r="F37" s="15" t="s">
        <v>162</v>
      </c>
      <c r="G37" s="10" t="s">
        <v>57</v>
      </c>
      <c r="H37" s="17">
        <v>600</v>
      </c>
      <c r="I37" s="17">
        <f>H37*E37</f>
        <v>600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45"/>
      <c r="AP37" s="6"/>
      <c r="AQ37" s="50"/>
      <c r="AR37" s="6"/>
      <c r="AS37" s="6"/>
      <c r="AT37" s="6"/>
      <c r="AU37" s="6"/>
      <c r="AV37" s="7"/>
      <c r="AW37" s="7"/>
      <c r="AX37" s="7"/>
      <c r="AY37" s="7"/>
      <c r="AZ37" s="5"/>
      <c r="BA37" s="5"/>
      <c r="BB37" s="6"/>
      <c r="BC37" s="6"/>
      <c r="BD37" s="6"/>
      <c r="BE37" s="6"/>
      <c r="BF37" s="5"/>
      <c r="BG37" s="5"/>
      <c r="BH37" s="6"/>
      <c r="BI37" s="6"/>
      <c r="BJ37" s="6"/>
      <c r="BK37" s="6"/>
      <c r="BL37" s="6"/>
      <c r="BM37" s="6"/>
      <c r="BN37" s="6"/>
      <c r="BO37" s="6"/>
      <c r="BP37" s="6"/>
      <c r="BQ37" s="6"/>
    </row>
    <row r="38" spans="1:69" ht="28.8" x14ac:dyDescent="0.3">
      <c r="A38" s="129"/>
      <c r="B38" s="63">
        <v>33</v>
      </c>
      <c r="C38" s="57" t="s">
        <v>369</v>
      </c>
      <c r="D38" s="5" t="s">
        <v>370</v>
      </c>
      <c r="E38" s="5">
        <v>20</v>
      </c>
      <c r="F38" s="15" t="s">
        <v>371</v>
      </c>
      <c r="G38" s="8" t="s">
        <v>56</v>
      </c>
      <c r="H38" s="6"/>
      <c r="I38" s="6"/>
      <c r="J38" s="6"/>
      <c r="K38" s="6"/>
      <c r="L38" s="17">
        <v>2744.55</v>
      </c>
      <c r="M38" s="17">
        <f>L38*E38</f>
        <v>54891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45"/>
      <c r="AP38" s="6"/>
      <c r="AQ38" s="50"/>
      <c r="AR38" s="6"/>
      <c r="AS38" s="6"/>
      <c r="AT38" s="6"/>
      <c r="AU38" s="6"/>
      <c r="AV38" s="7"/>
      <c r="AW38" s="7"/>
      <c r="AX38" s="7"/>
      <c r="AY38" s="7"/>
      <c r="AZ38" s="5"/>
      <c r="BA38" s="5"/>
      <c r="BB38" s="6"/>
      <c r="BC38" s="6"/>
      <c r="BD38" s="6"/>
      <c r="BE38" s="6"/>
      <c r="BF38" s="5"/>
      <c r="BG38" s="5"/>
      <c r="BH38" s="6"/>
      <c r="BI38" s="6"/>
      <c r="BJ38" s="6"/>
      <c r="BK38" s="6"/>
      <c r="BL38" s="6"/>
      <c r="BM38" s="6"/>
      <c r="BN38" s="6"/>
      <c r="BO38" s="6"/>
      <c r="BP38" s="6"/>
      <c r="BQ38" s="6"/>
    </row>
    <row r="39" spans="1:69" ht="28.8" x14ac:dyDescent="0.3">
      <c r="A39" s="129"/>
      <c r="B39" s="63">
        <v>34</v>
      </c>
      <c r="C39" s="57" t="s">
        <v>372</v>
      </c>
      <c r="D39" s="5" t="s">
        <v>370</v>
      </c>
      <c r="E39" s="5">
        <v>20</v>
      </c>
      <c r="F39" s="15" t="s">
        <v>373</v>
      </c>
      <c r="G39" s="1" t="s">
        <v>56</v>
      </c>
      <c r="H39" s="6"/>
      <c r="I39" s="6"/>
      <c r="J39" s="6"/>
      <c r="K39" s="6"/>
      <c r="L39" s="17">
        <v>1530.8</v>
      </c>
      <c r="M39" s="17">
        <f>L39*E39</f>
        <v>30616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45"/>
      <c r="AP39" s="6"/>
      <c r="AQ39" s="50"/>
      <c r="AR39" s="6"/>
      <c r="AS39" s="6"/>
      <c r="AT39" s="6"/>
      <c r="AU39" s="6"/>
      <c r="AV39" s="7"/>
      <c r="AW39" s="7"/>
      <c r="AX39" s="7"/>
      <c r="AY39" s="7"/>
      <c r="AZ39" s="5"/>
      <c r="BA39" s="5"/>
      <c r="BB39" s="6"/>
      <c r="BC39" s="6"/>
      <c r="BD39" s="6"/>
      <c r="BE39" s="6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</row>
    <row r="40" spans="1:69" ht="28.8" x14ac:dyDescent="0.3">
      <c r="A40" s="129"/>
      <c r="B40" s="63">
        <v>35</v>
      </c>
      <c r="C40" s="57" t="s">
        <v>374</v>
      </c>
      <c r="D40" s="5" t="s">
        <v>370</v>
      </c>
      <c r="E40" s="5">
        <v>20</v>
      </c>
      <c r="F40" s="15" t="s">
        <v>375</v>
      </c>
      <c r="G40" s="8" t="s">
        <v>56</v>
      </c>
      <c r="H40" s="6"/>
      <c r="I40" s="6"/>
      <c r="J40" s="6"/>
      <c r="K40" s="6"/>
      <c r="L40" s="17">
        <v>108.23</v>
      </c>
      <c r="M40" s="17">
        <f>L40*E40</f>
        <v>2164.6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45"/>
      <c r="AP40" s="6"/>
      <c r="AQ40" s="50"/>
      <c r="AR40" s="6"/>
      <c r="AS40" s="6"/>
      <c r="AT40" s="6"/>
      <c r="AU40" s="6"/>
      <c r="AV40" s="7"/>
      <c r="AW40" s="7"/>
      <c r="AX40" s="7"/>
      <c r="AY40" s="7"/>
      <c r="AZ40" s="5"/>
      <c r="BA40" s="5"/>
      <c r="BB40" s="6"/>
      <c r="BC40" s="6"/>
      <c r="BD40" s="6"/>
      <c r="BE40" s="6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</row>
    <row r="41" spans="1:69" ht="28.8" x14ac:dyDescent="0.3">
      <c r="A41" s="129"/>
      <c r="B41" s="63">
        <v>36</v>
      </c>
      <c r="C41" s="57" t="s">
        <v>376</v>
      </c>
      <c r="D41" s="5" t="s">
        <v>377</v>
      </c>
      <c r="E41" s="5">
        <v>18</v>
      </c>
      <c r="F41" s="15" t="s">
        <v>378</v>
      </c>
      <c r="G41" s="8" t="s">
        <v>56</v>
      </c>
      <c r="H41" s="6"/>
      <c r="I41" s="6"/>
      <c r="J41" s="6"/>
      <c r="K41" s="6"/>
      <c r="L41" s="17">
        <v>110.36</v>
      </c>
      <c r="M41" s="17">
        <f>L41*E41</f>
        <v>1986.48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45"/>
      <c r="AP41" s="6"/>
      <c r="AQ41" s="50"/>
      <c r="AR41" s="6"/>
      <c r="AS41" s="6"/>
      <c r="AT41" s="6"/>
      <c r="AU41" s="6"/>
      <c r="AV41" s="7"/>
      <c r="AW41" s="7"/>
      <c r="AX41" s="7"/>
      <c r="AY41" s="7"/>
      <c r="AZ41" s="5"/>
      <c r="BA41" s="5"/>
      <c r="BB41" s="6"/>
      <c r="BC41" s="6"/>
      <c r="BD41" s="6"/>
      <c r="BE41" s="6"/>
      <c r="BF41" s="5"/>
      <c r="BG41" s="5"/>
      <c r="BH41" s="6"/>
      <c r="BI41" s="6"/>
      <c r="BJ41" s="6"/>
      <c r="BK41" s="6"/>
      <c r="BL41" s="6"/>
      <c r="BM41" s="6"/>
      <c r="BN41" s="6"/>
      <c r="BO41" s="6"/>
      <c r="BP41" s="6"/>
      <c r="BQ41" s="6"/>
    </row>
    <row r="42" spans="1:69" x14ac:dyDescent="0.3">
      <c r="A42" s="129"/>
      <c r="B42" s="63">
        <v>37</v>
      </c>
      <c r="C42" s="57" t="s">
        <v>379</v>
      </c>
      <c r="D42" s="5" t="s">
        <v>380</v>
      </c>
      <c r="E42" s="5">
        <v>5</v>
      </c>
      <c r="F42" s="15" t="s">
        <v>381</v>
      </c>
      <c r="G42" s="8" t="s">
        <v>56</v>
      </c>
      <c r="H42" s="6"/>
      <c r="I42" s="6"/>
      <c r="J42" s="6"/>
      <c r="K42" s="6"/>
      <c r="L42" s="17">
        <v>467.46</v>
      </c>
      <c r="M42" s="17">
        <f>L42*E42</f>
        <v>2337.2999999999997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45"/>
      <c r="AP42" s="6"/>
      <c r="AQ42" s="50"/>
      <c r="AR42" s="6"/>
      <c r="AS42" s="6"/>
      <c r="AT42" s="6"/>
      <c r="AU42" s="6"/>
      <c r="AV42" s="7"/>
      <c r="AW42" s="7"/>
      <c r="AX42" s="7"/>
      <c r="AY42" s="7"/>
      <c r="AZ42" s="5"/>
      <c r="BA42" s="5"/>
      <c r="BB42" s="6"/>
      <c r="BC42" s="6"/>
      <c r="BD42" s="6"/>
      <c r="BE42" s="6"/>
      <c r="BF42" s="5"/>
      <c r="BG42" s="5"/>
      <c r="BH42" s="6"/>
      <c r="BI42" s="6"/>
      <c r="BJ42" s="6"/>
      <c r="BK42" s="6"/>
      <c r="BL42" s="6"/>
      <c r="BM42" s="6"/>
      <c r="BN42" s="6"/>
      <c r="BO42" s="6"/>
      <c r="BP42" s="6"/>
      <c r="BQ42" s="6"/>
    </row>
    <row r="43" spans="1:69" x14ac:dyDescent="0.3">
      <c r="A43" s="129"/>
      <c r="B43" s="63">
        <v>38</v>
      </c>
      <c r="C43" s="57" t="s">
        <v>382</v>
      </c>
      <c r="D43" s="5" t="s">
        <v>383</v>
      </c>
      <c r="E43" s="5">
        <v>1</v>
      </c>
      <c r="F43" s="15" t="s">
        <v>384</v>
      </c>
      <c r="G43" s="8" t="s">
        <v>56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43" t="s">
        <v>413</v>
      </c>
      <c r="AM43" s="43" t="s">
        <v>413</v>
      </c>
      <c r="AN43" s="5"/>
      <c r="AO43" s="45"/>
      <c r="AP43" s="6"/>
      <c r="AQ43" s="50"/>
      <c r="AR43" s="6"/>
      <c r="AS43" s="6"/>
      <c r="AT43" s="6"/>
      <c r="AU43" s="6"/>
      <c r="AV43" s="7"/>
      <c r="AW43" s="7"/>
      <c r="AX43" s="7"/>
      <c r="AY43" s="7"/>
      <c r="AZ43" s="5"/>
      <c r="BA43" s="5"/>
      <c r="BB43" s="6"/>
      <c r="BC43" s="6"/>
      <c r="BD43" s="6"/>
      <c r="BE43" s="6"/>
      <c r="BF43" s="5"/>
      <c r="BG43" s="5"/>
      <c r="BH43" s="6"/>
      <c r="BI43" s="6"/>
      <c r="BJ43" s="6"/>
      <c r="BK43" s="6"/>
      <c r="BL43" s="6"/>
      <c r="BM43" s="6"/>
      <c r="BN43" s="6"/>
      <c r="BO43" s="6"/>
      <c r="BP43" s="6"/>
      <c r="BQ43" s="6"/>
    </row>
    <row r="44" spans="1:69" x14ac:dyDescent="0.3">
      <c r="A44" s="129"/>
      <c r="B44" s="63">
        <v>39</v>
      </c>
      <c r="C44" s="57" t="s">
        <v>385</v>
      </c>
      <c r="D44" s="5" t="s">
        <v>411</v>
      </c>
      <c r="E44" s="5">
        <v>0.5</v>
      </c>
      <c r="F44" s="60" t="s">
        <v>386</v>
      </c>
      <c r="G44" s="8" t="s">
        <v>56</v>
      </c>
      <c r="H44" s="6"/>
      <c r="I44" s="6"/>
      <c r="J44" s="6"/>
      <c r="K44" s="6"/>
      <c r="L44" s="17">
        <v>729.54</v>
      </c>
      <c r="M44" s="17">
        <f>L44*E44</f>
        <v>364.77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45"/>
      <c r="AP44" s="6"/>
      <c r="AQ44" s="50"/>
      <c r="AR44" s="6"/>
      <c r="AS44" s="6"/>
      <c r="AT44" s="6"/>
      <c r="AU44" s="6"/>
      <c r="AV44" s="7"/>
      <c r="AW44" s="7"/>
      <c r="AX44" s="7"/>
      <c r="AY44" s="7"/>
      <c r="AZ44" s="5"/>
      <c r="BA44" s="5"/>
      <c r="BB44" s="6"/>
      <c r="BC44" s="6"/>
      <c r="BD44" s="6"/>
      <c r="BE44" s="6"/>
      <c r="BF44" s="5"/>
      <c r="BG44" s="5"/>
      <c r="BH44" s="6"/>
      <c r="BI44" s="6"/>
      <c r="BJ44" s="6"/>
      <c r="BK44" s="6"/>
      <c r="BL44" s="6"/>
      <c r="BM44" s="6"/>
      <c r="BN44" s="6"/>
      <c r="BO44" s="6"/>
      <c r="BP44" s="6"/>
      <c r="BQ44" s="6"/>
    </row>
    <row r="45" spans="1:69" ht="28.8" x14ac:dyDescent="0.3">
      <c r="A45" s="129"/>
      <c r="B45" s="63">
        <v>40</v>
      </c>
      <c r="C45" s="57" t="s">
        <v>389</v>
      </c>
      <c r="D45" s="5" t="s">
        <v>4</v>
      </c>
      <c r="E45" s="5">
        <v>1</v>
      </c>
      <c r="F45" s="15" t="s">
        <v>390</v>
      </c>
      <c r="G45" s="8" t="s">
        <v>56</v>
      </c>
      <c r="H45" s="6"/>
      <c r="I45" s="6"/>
      <c r="J45" s="6"/>
      <c r="K45" s="6"/>
      <c r="L45" s="17">
        <v>10143.44</v>
      </c>
      <c r="M45" s="17">
        <f>L45*E45</f>
        <v>10143.44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45"/>
      <c r="AP45" s="6"/>
      <c r="AQ45" s="50"/>
      <c r="AR45" s="6"/>
      <c r="AS45" s="6"/>
      <c r="AT45" s="6"/>
      <c r="AU45" s="6"/>
      <c r="AV45" s="7"/>
      <c r="AW45" s="7"/>
      <c r="AX45" s="7"/>
      <c r="AY45" s="7"/>
      <c r="AZ45" s="5"/>
      <c r="BA45" s="5"/>
      <c r="BB45" s="6"/>
      <c r="BC45" s="6"/>
      <c r="BD45" s="6"/>
      <c r="BE45" s="6"/>
      <c r="BF45" s="5"/>
      <c r="BG45" s="5"/>
      <c r="BH45" s="6"/>
      <c r="BI45" s="6"/>
      <c r="BJ45" s="6"/>
      <c r="BK45" s="6"/>
      <c r="BL45" s="6"/>
      <c r="BM45" s="6"/>
      <c r="BN45" s="6"/>
      <c r="BO45" s="6"/>
      <c r="BP45" s="6"/>
      <c r="BQ45" s="6"/>
    </row>
    <row r="46" spans="1:69" ht="28.8" x14ac:dyDescent="0.3">
      <c r="A46" s="129"/>
      <c r="B46" s="63">
        <v>41</v>
      </c>
      <c r="C46" s="57" t="s">
        <v>391</v>
      </c>
      <c r="D46" s="5" t="s">
        <v>4</v>
      </c>
      <c r="E46" s="5">
        <v>1</v>
      </c>
      <c r="F46" s="15" t="s">
        <v>392</v>
      </c>
      <c r="G46" s="8" t="s">
        <v>56</v>
      </c>
      <c r="H46" s="6"/>
      <c r="I46" s="6"/>
      <c r="J46" s="6"/>
      <c r="K46" s="6"/>
      <c r="L46" s="17">
        <v>19840.47</v>
      </c>
      <c r="M46" s="17">
        <f>L46*E46</f>
        <v>19840.47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45"/>
      <c r="AP46" s="6"/>
      <c r="AQ46" s="50"/>
      <c r="AR46" s="6"/>
      <c r="AS46" s="6"/>
      <c r="AT46" s="6"/>
      <c r="AU46" s="6"/>
      <c r="AV46" s="7"/>
      <c r="AW46" s="7"/>
      <c r="AX46" s="7"/>
      <c r="AY46" s="7"/>
      <c r="AZ46" s="5"/>
      <c r="BA46" s="5"/>
      <c r="BB46" s="6"/>
      <c r="BC46" s="6"/>
      <c r="BD46" s="6"/>
      <c r="BE46" s="6"/>
      <c r="BF46" s="5"/>
      <c r="BG46" s="5"/>
      <c r="BH46" s="6"/>
      <c r="BI46" s="6"/>
      <c r="BJ46" s="6"/>
      <c r="BK46" s="6"/>
      <c r="BL46" s="6"/>
      <c r="BM46" s="6"/>
      <c r="BN46" s="6"/>
      <c r="BO46" s="6"/>
      <c r="BP46" s="6"/>
      <c r="BQ46" s="6"/>
    </row>
    <row r="47" spans="1:69" ht="27.6" x14ac:dyDescent="0.3">
      <c r="A47" s="129"/>
      <c r="B47" s="63">
        <v>42</v>
      </c>
      <c r="C47" s="57" t="s">
        <v>393</v>
      </c>
      <c r="D47" s="5" t="s">
        <v>4</v>
      </c>
      <c r="E47" s="5">
        <v>4</v>
      </c>
      <c r="F47" s="15" t="s">
        <v>394</v>
      </c>
      <c r="G47" s="8" t="s">
        <v>56</v>
      </c>
      <c r="H47" s="6"/>
      <c r="I47" s="6"/>
      <c r="J47" s="6"/>
      <c r="K47" s="6"/>
      <c r="L47" s="17">
        <v>2790.46</v>
      </c>
      <c r="M47" s="17">
        <f>L47*E47</f>
        <v>11161.84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45"/>
      <c r="AP47" s="6"/>
      <c r="AQ47" s="50"/>
      <c r="AR47" s="6"/>
      <c r="AS47" s="6"/>
      <c r="AT47" s="6"/>
      <c r="AU47" s="6"/>
      <c r="AV47" s="7"/>
      <c r="AW47" s="7"/>
      <c r="AX47" s="7"/>
      <c r="AY47" s="7"/>
      <c r="AZ47" s="5"/>
      <c r="BA47" s="5"/>
      <c r="BB47" s="6"/>
      <c r="BC47" s="6"/>
      <c r="BD47" s="6"/>
      <c r="BE47" s="6"/>
      <c r="BF47" s="5"/>
      <c r="BG47" s="5"/>
      <c r="BH47" s="6"/>
      <c r="BI47" s="6"/>
      <c r="BJ47" s="6"/>
      <c r="BK47" s="6"/>
      <c r="BL47" s="6"/>
      <c r="BM47" s="6"/>
      <c r="BN47" s="6"/>
      <c r="BO47" s="6"/>
      <c r="BP47" s="6"/>
      <c r="BQ47" s="6"/>
    </row>
    <row r="48" spans="1:69" x14ac:dyDescent="0.3">
      <c r="A48" s="129"/>
      <c r="B48" s="63">
        <v>43</v>
      </c>
      <c r="C48" s="57" t="s">
        <v>395</v>
      </c>
      <c r="D48" s="5" t="s">
        <v>4</v>
      </c>
      <c r="E48" s="5">
        <v>4</v>
      </c>
      <c r="F48" s="15" t="s">
        <v>394</v>
      </c>
      <c r="G48" s="8" t="s">
        <v>56</v>
      </c>
      <c r="H48" s="6"/>
      <c r="I48" s="6"/>
      <c r="J48" s="6"/>
      <c r="K48" s="6"/>
      <c r="L48" s="17">
        <v>5570.1</v>
      </c>
      <c r="M48" s="17">
        <f>L48*E48</f>
        <v>22280.400000000001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45"/>
      <c r="AP48" s="6"/>
      <c r="AQ48" s="50"/>
      <c r="AR48" s="6"/>
      <c r="AS48" s="6"/>
      <c r="AT48" s="6"/>
      <c r="AU48" s="6"/>
      <c r="AV48" s="7"/>
      <c r="AW48" s="7"/>
      <c r="AX48" s="7"/>
      <c r="AY48" s="7"/>
      <c r="AZ48" s="5"/>
      <c r="BA48" s="5"/>
      <c r="BB48" s="6"/>
      <c r="BC48" s="6"/>
      <c r="BD48" s="6"/>
      <c r="BE48" s="6"/>
      <c r="BF48" s="5"/>
      <c r="BG48" s="5"/>
      <c r="BH48" s="6"/>
      <c r="BI48" s="6"/>
      <c r="BJ48" s="6"/>
      <c r="BK48" s="6"/>
      <c r="BL48" s="6"/>
      <c r="BM48" s="6"/>
      <c r="BN48" s="6"/>
      <c r="BO48" s="6"/>
      <c r="BP48" s="6"/>
      <c r="BQ48" s="6"/>
    </row>
    <row r="49" spans="1:69" ht="57.6" x14ac:dyDescent="0.3">
      <c r="A49" s="129"/>
      <c r="B49" s="63">
        <v>44</v>
      </c>
      <c r="C49" s="57" t="s">
        <v>193</v>
      </c>
      <c r="D49" s="5" t="s">
        <v>4</v>
      </c>
      <c r="E49" s="5">
        <v>20</v>
      </c>
      <c r="F49" s="15" t="s">
        <v>194</v>
      </c>
      <c r="G49" s="10" t="s">
        <v>199</v>
      </c>
      <c r="H49" s="6"/>
      <c r="I49" s="6"/>
      <c r="J49" s="6"/>
      <c r="K49" s="6"/>
      <c r="L49" s="6"/>
      <c r="M49" s="6"/>
      <c r="N49" s="17">
        <v>3.31</v>
      </c>
      <c r="O49" s="17">
        <f>N49*E49</f>
        <v>66.2</v>
      </c>
      <c r="P49" s="6"/>
      <c r="Q49" s="6"/>
      <c r="R49" s="6"/>
      <c r="S49" s="6"/>
      <c r="T49" s="6"/>
      <c r="U49" s="6"/>
      <c r="V49" s="6"/>
      <c r="W49" s="6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5"/>
      <c r="AP49" s="6"/>
      <c r="AQ49" s="50"/>
      <c r="AR49" s="6"/>
      <c r="AS49" s="6"/>
      <c r="AT49" s="6"/>
      <c r="AU49" s="6"/>
      <c r="AV49" s="7"/>
      <c r="AW49" s="7"/>
      <c r="AX49" s="7"/>
      <c r="AY49" s="7"/>
      <c r="AZ49" s="5"/>
      <c r="BA49" s="5"/>
      <c r="BB49" s="6"/>
      <c r="BC49" s="6"/>
      <c r="BD49" s="6"/>
      <c r="BE49" s="6"/>
      <c r="BF49" s="5"/>
      <c r="BG49" s="5"/>
      <c r="BH49" s="6"/>
      <c r="BI49" s="6"/>
      <c r="BJ49" s="6"/>
      <c r="BK49" s="6"/>
      <c r="BL49" s="6"/>
      <c r="BM49" s="6"/>
      <c r="BN49" s="6"/>
      <c r="BO49" s="6"/>
      <c r="BP49" s="6"/>
      <c r="BQ49" s="6"/>
    </row>
    <row r="50" spans="1:69" ht="28.8" x14ac:dyDescent="0.3">
      <c r="A50" s="129"/>
      <c r="B50" s="63">
        <v>45</v>
      </c>
      <c r="C50" s="57" t="s">
        <v>195</v>
      </c>
      <c r="D50" s="5" t="s">
        <v>4</v>
      </c>
      <c r="E50" s="5">
        <v>20</v>
      </c>
      <c r="F50" s="15" t="s">
        <v>196</v>
      </c>
      <c r="G50" s="10" t="s">
        <v>199</v>
      </c>
      <c r="H50" s="6"/>
      <c r="I50" s="6"/>
      <c r="J50" s="6"/>
      <c r="K50" s="6"/>
      <c r="L50" s="6"/>
      <c r="M50" s="6"/>
      <c r="N50" s="17">
        <v>3.31</v>
      </c>
      <c r="O50" s="17">
        <f>N50*E50</f>
        <v>66.2</v>
      </c>
      <c r="P50" s="6"/>
      <c r="Q50" s="6"/>
      <c r="R50" s="6"/>
      <c r="S50" s="6"/>
      <c r="T50" s="6"/>
      <c r="U50" s="6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45"/>
      <c r="AP50" s="6"/>
      <c r="AQ50" s="50"/>
      <c r="AR50" s="6"/>
      <c r="AS50" s="6"/>
      <c r="AT50" s="6"/>
      <c r="AU50" s="6"/>
      <c r="AV50" s="7"/>
      <c r="AW50" s="7"/>
      <c r="AX50" s="7"/>
      <c r="AY50" s="7"/>
      <c r="AZ50" s="5"/>
      <c r="BA50" s="5"/>
      <c r="BB50" s="6"/>
      <c r="BC50" s="6"/>
      <c r="BD50" s="6"/>
      <c r="BE50" s="6"/>
      <c r="BF50" s="5"/>
      <c r="BG50" s="5"/>
      <c r="BH50" s="6"/>
      <c r="BI50" s="6"/>
      <c r="BJ50" s="6"/>
      <c r="BK50" s="6"/>
      <c r="BL50" s="6"/>
      <c r="BM50" s="6"/>
      <c r="BN50" s="6"/>
      <c r="BO50" s="6"/>
      <c r="BP50" s="6"/>
      <c r="BQ50" s="6"/>
    </row>
    <row r="51" spans="1:69" ht="28.8" x14ac:dyDescent="0.3">
      <c r="A51" s="129"/>
      <c r="B51" s="63">
        <v>46</v>
      </c>
      <c r="C51" s="57" t="s">
        <v>197</v>
      </c>
      <c r="D51" s="5" t="s">
        <v>4</v>
      </c>
      <c r="E51" s="5">
        <v>20</v>
      </c>
      <c r="F51" s="15" t="s">
        <v>198</v>
      </c>
      <c r="G51" s="10" t="s">
        <v>199</v>
      </c>
      <c r="H51" s="6"/>
      <c r="I51" s="6"/>
      <c r="J51" s="6"/>
      <c r="K51" s="6"/>
      <c r="L51" s="6"/>
      <c r="M51" s="6"/>
      <c r="N51" s="17">
        <v>3.86</v>
      </c>
      <c r="O51" s="17">
        <f>N51*E51</f>
        <v>77.2</v>
      </c>
      <c r="P51" s="6"/>
      <c r="Q51" s="6"/>
      <c r="R51" s="6"/>
      <c r="S51" s="6"/>
      <c r="T51" s="6"/>
      <c r="U51" s="6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45"/>
      <c r="AP51" s="6"/>
      <c r="AQ51" s="50"/>
      <c r="AR51" s="6"/>
      <c r="AS51" s="6"/>
      <c r="AT51" s="6"/>
      <c r="AU51" s="6"/>
      <c r="AV51" s="7"/>
      <c r="AW51" s="7"/>
      <c r="AX51" s="7"/>
      <c r="AY51" s="7"/>
      <c r="AZ51" s="5"/>
      <c r="BA51" s="5"/>
      <c r="BB51" s="6"/>
      <c r="BC51" s="6"/>
      <c r="BD51" s="6"/>
      <c r="BE51" s="6"/>
      <c r="BF51" s="5"/>
      <c r="BG51" s="5"/>
      <c r="BH51" s="6"/>
      <c r="BI51" s="6"/>
      <c r="BJ51" s="6"/>
      <c r="BK51" s="6"/>
      <c r="BL51" s="6"/>
      <c r="BM51" s="6"/>
      <c r="BN51" s="6"/>
      <c r="BO51" s="6"/>
      <c r="BP51" s="6"/>
      <c r="BQ51" s="6"/>
    </row>
    <row r="52" spans="1:69" ht="28.8" x14ac:dyDescent="0.3">
      <c r="A52" s="129"/>
      <c r="B52" s="63">
        <v>47</v>
      </c>
      <c r="C52" s="57" t="s">
        <v>250</v>
      </c>
      <c r="D52" s="5" t="s">
        <v>4</v>
      </c>
      <c r="E52" s="5">
        <v>5</v>
      </c>
      <c r="F52" s="15" t="s">
        <v>252</v>
      </c>
      <c r="G52" s="8" t="s">
        <v>56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37">
        <v>17.36</v>
      </c>
      <c r="W52" s="37">
        <f>V52*E52</f>
        <v>86.8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45"/>
      <c r="AP52" s="6"/>
      <c r="AQ52" s="50"/>
      <c r="AR52" s="6"/>
      <c r="AS52" s="6"/>
      <c r="AT52" s="6"/>
      <c r="AU52" s="6"/>
      <c r="AV52" s="7"/>
      <c r="AW52" s="7"/>
      <c r="AX52" s="7"/>
      <c r="AY52" s="7"/>
      <c r="AZ52" s="5"/>
      <c r="BA52" s="5"/>
      <c r="BB52" s="6"/>
      <c r="BC52" s="6"/>
      <c r="BD52" s="6"/>
      <c r="BE52" s="6"/>
      <c r="BF52" s="5"/>
      <c r="BG52" s="5"/>
      <c r="BH52" s="6"/>
      <c r="BI52" s="6"/>
      <c r="BJ52" s="6"/>
      <c r="BK52" s="6"/>
      <c r="BL52" s="6"/>
      <c r="BM52" s="6"/>
      <c r="BN52" s="6"/>
      <c r="BO52" s="6"/>
      <c r="BP52" s="6"/>
      <c r="BQ52" s="6"/>
    </row>
    <row r="53" spans="1:69" ht="28.8" x14ac:dyDescent="0.3">
      <c r="A53" s="129"/>
      <c r="B53" s="63">
        <v>48</v>
      </c>
      <c r="C53" s="57" t="s">
        <v>251</v>
      </c>
      <c r="D53" s="5" t="s">
        <v>4</v>
      </c>
      <c r="E53" s="5">
        <v>5</v>
      </c>
      <c r="F53" s="15" t="s">
        <v>253</v>
      </c>
      <c r="G53" s="8" t="s">
        <v>56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37">
        <v>16.27</v>
      </c>
      <c r="W53" s="37">
        <f>V53*E53</f>
        <v>81.349999999999994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45"/>
      <c r="AP53" s="6"/>
      <c r="AQ53" s="50"/>
      <c r="AR53" s="6"/>
      <c r="AS53" s="6"/>
      <c r="AT53" s="6"/>
      <c r="AU53" s="6"/>
      <c r="AV53" s="7"/>
      <c r="AW53" s="7"/>
      <c r="AX53" s="7"/>
      <c r="AY53" s="7"/>
      <c r="AZ53" s="5"/>
      <c r="BA53" s="5"/>
      <c r="BB53" s="6"/>
      <c r="BC53" s="6"/>
      <c r="BD53" s="6"/>
      <c r="BE53" s="6"/>
      <c r="BF53" s="5"/>
      <c r="BG53" s="5"/>
      <c r="BH53" s="6"/>
      <c r="BI53" s="6"/>
      <c r="BJ53" s="6"/>
      <c r="BK53" s="6"/>
      <c r="BL53" s="6"/>
      <c r="BM53" s="6"/>
      <c r="BN53" s="6"/>
      <c r="BO53" s="6"/>
      <c r="BP53" s="6"/>
      <c r="BQ53" s="6"/>
    </row>
    <row r="54" spans="1:69" ht="28.8" x14ac:dyDescent="0.3">
      <c r="A54" s="129"/>
      <c r="B54" s="63">
        <v>49</v>
      </c>
      <c r="C54" s="57" t="s">
        <v>415</v>
      </c>
      <c r="D54" s="5" t="s">
        <v>4</v>
      </c>
      <c r="E54" s="5">
        <v>5</v>
      </c>
      <c r="F54" s="15" t="s">
        <v>416</v>
      </c>
      <c r="G54" s="8" t="s">
        <v>56</v>
      </c>
      <c r="H54" s="6"/>
      <c r="I54" s="6"/>
      <c r="J54" s="6"/>
      <c r="K54" s="6"/>
      <c r="L54" s="6"/>
      <c r="M54" s="6"/>
      <c r="N54" s="17">
        <v>284.27999999999997</v>
      </c>
      <c r="O54" s="17">
        <f>N54*E54</f>
        <v>1421.3999999999999</v>
      </c>
      <c r="P54" s="6"/>
      <c r="Q54" s="6"/>
      <c r="R54" s="6"/>
      <c r="S54" s="6"/>
      <c r="T54" s="6"/>
      <c r="U54" s="6"/>
      <c r="V54" s="6"/>
      <c r="W54" s="6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45"/>
      <c r="AP54" s="6"/>
      <c r="AQ54" s="50"/>
      <c r="AR54" s="6"/>
      <c r="AS54" s="6"/>
      <c r="AT54" s="6"/>
      <c r="AU54" s="6"/>
      <c r="AV54" s="7"/>
      <c r="AW54" s="7"/>
      <c r="AX54" s="7"/>
      <c r="AY54" s="7"/>
      <c r="AZ54" s="5"/>
      <c r="BA54" s="5"/>
      <c r="BB54" s="6"/>
      <c r="BC54" s="6"/>
      <c r="BD54" s="6"/>
      <c r="BE54" s="6"/>
      <c r="BF54" s="5"/>
      <c r="BG54" s="5"/>
      <c r="BH54" s="6"/>
      <c r="BI54" s="6"/>
      <c r="BJ54" s="6"/>
      <c r="BK54" s="6"/>
      <c r="BL54" s="6"/>
      <c r="BM54" s="6"/>
      <c r="BN54" s="6"/>
      <c r="BO54" s="6"/>
      <c r="BP54" s="6"/>
      <c r="BQ54" s="6"/>
    </row>
    <row r="55" spans="1:69" ht="28.8" x14ac:dyDescent="0.3">
      <c r="A55" s="129"/>
      <c r="B55" s="63">
        <v>50</v>
      </c>
      <c r="C55" s="57" t="s">
        <v>418</v>
      </c>
      <c r="D55" s="5" t="s">
        <v>4</v>
      </c>
      <c r="E55" s="5">
        <v>5</v>
      </c>
      <c r="F55" s="15" t="s">
        <v>417</v>
      </c>
      <c r="G55" s="8" t="s">
        <v>56</v>
      </c>
      <c r="H55" s="6"/>
      <c r="I55" s="6"/>
      <c r="J55" s="6"/>
      <c r="K55" s="6"/>
      <c r="L55" s="6"/>
      <c r="M55" s="6"/>
      <c r="N55" s="17">
        <v>110.4</v>
      </c>
      <c r="O55" s="17">
        <f>N55*E55</f>
        <v>552</v>
      </c>
      <c r="P55" s="6"/>
      <c r="Q55" s="6"/>
      <c r="R55" s="6"/>
      <c r="S55" s="6"/>
      <c r="T55" s="6"/>
      <c r="U55" s="6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45"/>
      <c r="AP55" s="6"/>
      <c r="AQ55" s="50"/>
      <c r="AR55" s="6"/>
      <c r="AS55" s="6"/>
      <c r="AT55" s="6"/>
      <c r="AU55" s="6"/>
      <c r="AV55" s="7"/>
      <c r="AW55" s="7"/>
      <c r="AX55" s="7"/>
      <c r="AY55" s="7"/>
      <c r="AZ55" s="5"/>
      <c r="BA55" s="5"/>
      <c r="BB55" s="6"/>
      <c r="BC55" s="6"/>
      <c r="BD55" s="6"/>
      <c r="BE55" s="6"/>
      <c r="BF55" s="5"/>
      <c r="BG55" s="5"/>
      <c r="BH55" s="6"/>
      <c r="BI55" s="6"/>
      <c r="BJ55" s="6"/>
      <c r="BK55" s="6"/>
      <c r="BL55" s="6"/>
      <c r="BM55" s="6"/>
      <c r="BN55" s="6"/>
      <c r="BO55" s="6"/>
      <c r="BP55" s="6"/>
      <c r="BQ55" s="6"/>
    </row>
    <row r="56" spans="1:69" ht="28.8" x14ac:dyDescent="0.3">
      <c r="A56" s="129"/>
      <c r="B56" s="63">
        <v>51</v>
      </c>
      <c r="C56" s="57" t="s">
        <v>419</v>
      </c>
      <c r="D56" s="5" t="s">
        <v>4</v>
      </c>
      <c r="E56" s="5">
        <v>10</v>
      </c>
      <c r="F56" s="15" t="s">
        <v>424</v>
      </c>
      <c r="G56" s="8" t="s">
        <v>56</v>
      </c>
      <c r="H56" s="6"/>
      <c r="I56" s="6"/>
      <c r="J56" s="6"/>
      <c r="K56" s="6"/>
      <c r="L56" s="6"/>
      <c r="M56" s="6"/>
      <c r="N56" s="19"/>
      <c r="O56" s="19"/>
      <c r="P56" s="6"/>
      <c r="Q56" s="6"/>
      <c r="R56" s="6"/>
      <c r="S56" s="6"/>
      <c r="T56" s="6"/>
      <c r="U56" s="6"/>
      <c r="V56" s="6"/>
      <c r="W56" s="6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45"/>
      <c r="AP56" s="6"/>
      <c r="AQ56" s="50"/>
      <c r="AR56" s="6"/>
      <c r="AS56" s="6"/>
      <c r="AT56" s="6"/>
      <c r="AU56" s="6"/>
      <c r="AV56" s="53">
        <v>52.03</v>
      </c>
      <c r="AW56" s="53">
        <f>AV56*E56</f>
        <v>520.29999999999995</v>
      </c>
      <c r="AX56" s="7"/>
      <c r="AY56" s="7"/>
      <c r="AZ56" s="5"/>
      <c r="BA56" s="5"/>
      <c r="BB56" s="6"/>
      <c r="BC56" s="6"/>
      <c r="BD56" s="6"/>
      <c r="BE56" s="6"/>
      <c r="BF56" s="5"/>
      <c r="BG56" s="5"/>
      <c r="BH56" s="6"/>
      <c r="BI56" s="6"/>
      <c r="BJ56" s="6"/>
      <c r="BK56" s="6"/>
      <c r="BL56" s="6"/>
      <c r="BM56" s="6"/>
      <c r="BN56" s="6"/>
      <c r="BO56" s="6"/>
      <c r="BP56" s="6"/>
      <c r="BQ56" s="6"/>
    </row>
    <row r="57" spans="1:69" ht="29.4" thickBot="1" x14ac:dyDescent="0.35">
      <c r="A57" s="130"/>
      <c r="B57" s="111">
        <v>52</v>
      </c>
      <c r="C57" s="57" t="s">
        <v>683</v>
      </c>
      <c r="D57" s="5" t="s">
        <v>4</v>
      </c>
      <c r="E57" s="5">
        <v>4</v>
      </c>
      <c r="F57" s="15" t="s">
        <v>684</v>
      </c>
      <c r="G57" s="10" t="s">
        <v>685</v>
      </c>
      <c r="H57" s="17">
        <v>1019.9</v>
      </c>
      <c r="I57" s="17">
        <f>H57*E57</f>
        <v>4079.6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6"/>
      <c r="AQ57" s="6"/>
      <c r="AR57" s="6"/>
      <c r="AS57" s="6"/>
      <c r="AT57" s="6"/>
      <c r="AU57" s="6"/>
      <c r="AV57" s="7"/>
      <c r="AW57" s="7"/>
      <c r="AX57" s="7"/>
      <c r="AY57" s="7"/>
      <c r="AZ57" s="5"/>
      <c r="BA57" s="5"/>
      <c r="BB57" s="6"/>
      <c r="BC57" s="6"/>
      <c r="BD57" s="6"/>
      <c r="BE57" s="6"/>
      <c r="BF57" s="5"/>
      <c r="BG57" s="5"/>
      <c r="BH57" s="6"/>
      <c r="BI57" s="6"/>
      <c r="BJ57" s="6"/>
      <c r="BK57" s="6"/>
      <c r="BL57" s="6"/>
      <c r="BM57" s="6"/>
      <c r="BN57" s="6"/>
      <c r="BO57" s="6"/>
      <c r="BP57" s="6"/>
      <c r="BQ57" s="6"/>
    </row>
    <row r="58" spans="1:69" ht="100.2" customHeight="1" x14ac:dyDescent="0.3">
      <c r="A58" s="134" t="s">
        <v>987</v>
      </c>
      <c r="B58" s="63">
        <v>53</v>
      </c>
      <c r="C58" s="57" t="s">
        <v>426</v>
      </c>
      <c r="D58" s="5" t="s">
        <v>4</v>
      </c>
      <c r="E58" s="5">
        <v>1</v>
      </c>
      <c r="F58" s="15" t="s">
        <v>656</v>
      </c>
      <c r="G58" s="8" t="s">
        <v>410</v>
      </c>
      <c r="H58" s="116" t="s">
        <v>1000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17">
        <v>22534.6</v>
      </c>
      <c r="U58" s="17">
        <f>T58*E58</f>
        <v>22534.6</v>
      </c>
      <c r="V58" s="6"/>
      <c r="W58" s="6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45"/>
      <c r="AP58" s="6"/>
      <c r="AQ58" s="50"/>
      <c r="AR58" s="6"/>
      <c r="AS58" s="6"/>
      <c r="AT58" s="6"/>
      <c r="AU58" s="6"/>
      <c r="AV58" s="7"/>
      <c r="AW58" s="7"/>
      <c r="AX58" s="7"/>
      <c r="AY58" s="7"/>
      <c r="AZ58" s="5"/>
      <c r="BA58" s="5"/>
      <c r="BB58" s="6"/>
      <c r="BC58" s="6"/>
      <c r="BD58" s="6"/>
      <c r="BE58" s="6"/>
      <c r="BF58" s="5"/>
      <c r="BG58" s="5"/>
      <c r="BH58" s="6"/>
      <c r="BI58" s="6"/>
      <c r="BJ58" s="6"/>
      <c r="BK58" s="6"/>
      <c r="BL58" s="6"/>
      <c r="BM58" s="6"/>
      <c r="BN58" s="6"/>
      <c r="BO58" s="6"/>
      <c r="BP58" s="6"/>
      <c r="BQ58" s="6"/>
    </row>
    <row r="59" spans="1:69" ht="28.8" x14ac:dyDescent="0.3">
      <c r="A59" s="135"/>
      <c r="B59" s="63">
        <v>54</v>
      </c>
      <c r="C59" s="57" t="s">
        <v>387</v>
      </c>
      <c r="D59" s="5" t="s">
        <v>4</v>
      </c>
      <c r="E59" s="5">
        <v>1</v>
      </c>
      <c r="F59" s="15" t="s">
        <v>388</v>
      </c>
      <c r="G59" s="8" t="s">
        <v>410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17">
        <v>33344.339999999997</v>
      </c>
      <c r="AO59" s="48">
        <f>AN59*E59</f>
        <v>33344.339999999997</v>
      </c>
      <c r="AP59" s="6"/>
      <c r="AQ59" s="50"/>
      <c r="AR59" s="6"/>
      <c r="AS59" s="6"/>
      <c r="AT59" s="6"/>
      <c r="AU59" s="6"/>
      <c r="AV59" s="7"/>
      <c r="AW59" s="7"/>
      <c r="AX59" s="7"/>
      <c r="AY59" s="7"/>
      <c r="AZ59" s="5"/>
      <c r="BA59" s="5"/>
      <c r="BB59" s="6"/>
      <c r="BC59" s="6"/>
      <c r="BD59" s="6"/>
      <c r="BE59" s="6"/>
      <c r="BF59" s="5"/>
      <c r="BG59" s="5"/>
      <c r="BH59" s="6"/>
      <c r="BI59" s="6"/>
      <c r="BJ59" s="6"/>
      <c r="BK59" s="6"/>
      <c r="BL59" s="6"/>
      <c r="BM59" s="6"/>
      <c r="BN59" s="6"/>
      <c r="BO59" s="6"/>
      <c r="BP59" s="6"/>
      <c r="BQ59" s="6"/>
    </row>
    <row r="60" spans="1:69" ht="28.8" x14ac:dyDescent="0.3">
      <c r="A60" s="135"/>
      <c r="B60" s="63">
        <v>55</v>
      </c>
      <c r="C60" s="57" t="s">
        <v>396</v>
      </c>
      <c r="D60" s="5" t="s">
        <v>4</v>
      </c>
      <c r="E60" s="5">
        <v>1</v>
      </c>
      <c r="F60" s="15" t="s">
        <v>397</v>
      </c>
      <c r="G60" s="8" t="s">
        <v>410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17">
        <v>9375.5499999999993</v>
      </c>
      <c r="AO60" s="48">
        <f>AN60*E60</f>
        <v>9375.5499999999993</v>
      </c>
      <c r="AP60" s="6"/>
      <c r="AQ60" s="50"/>
      <c r="AR60" s="6"/>
      <c r="AS60" s="6"/>
      <c r="AT60" s="6"/>
      <c r="AU60" s="6"/>
      <c r="AV60" s="7"/>
      <c r="AW60" s="7"/>
      <c r="AX60" s="7"/>
      <c r="AY60" s="7"/>
      <c r="AZ60" s="5"/>
      <c r="BA60" s="5"/>
      <c r="BB60" s="6"/>
      <c r="BC60" s="6"/>
      <c r="BD60" s="6"/>
      <c r="BE60" s="6"/>
      <c r="BF60" s="5"/>
      <c r="BG60" s="5"/>
      <c r="BH60" s="6"/>
      <c r="BI60" s="6"/>
      <c r="BJ60" s="6"/>
      <c r="BK60" s="6"/>
      <c r="BL60" s="6"/>
      <c r="BM60" s="6"/>
      <c r="BN60" s="6"/>
      <c r="BO60" s="6"/>
      <c r="BP60" s="6"/>
      <c r="BQ60" s="6"/>
    </row>
    <row r="61" spans="1:69" ht="28.8" x14ac:dyDescent="0.3">
      <c r="A61" s="135"/>
      <c r="B61" s="63">
        <v>56</v>
      </c>
      <c r="C61" s="57" t="s">
        <v>398</v>
      </c>
      <c r="D61" s="5" t="s">
        <v>4</v>
      </c>
      <c r="E61" s="5">
        <v>1</v>
      </c>
      <c r="F61" s="15" t="s">
        <v>399</v>
      </c>
      <c r="G61" s="8" t="s">
        <v>410</v>
      </c>
      <c r="H61" s="6"/>
      <c r="I61" s="6"/>
      <c r="J61" s="6"/>
      <c r="K61" s="6"/>
      <c r="L61" s="17">
        <v>368.91</v>
      </c>
      <c r="M61" s="17">
        <f>L61*E62</f>
        <v>1844.5500000000002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45"/>
      <c r="AP61" s="6"/>
      <c r="AQ61" s="50"/>
      <c r="AR61" s="6"/>
      <c r="AS61" s="6"/>
      <c r="AT61" s="6"/>
      <c r="AU61" s="6"/>
      <c r="AV61" s="7"/>
      <c r="AW61" s="7"/>
      <c r="AX61" s="7"/>
      <c r="AY61" s="7"/>
      <c r="AZ61" s="5"/>
      <c r="BA61" s="5"/>
      <c r="BB61" s="6"/>
      <c r="BC61" s="6"/>
      <c r="BD61" s="6"/>
      <c r="BE61" s="6"/>
      <c r="BF61" s="5"/>
      <c r="BG61" s="5"/>
      <c r="BH61" s="6"/>
      <c r="BI61" s="6"/>
      <c r="BJ61" s="6"/>
      <c r="BK61" s="6"/>
      <c r="BL61" s="6"/>
      <c r="BM61" s="6"/>
      <c r="BN61" s="6"/>
      <c r="BO61" s="6"/>
      <c r="BP61" s="6"/>
      <c r="BQ61" s="6"/>
    </row>
    <row r="62" spans="1:69" ht="28.8" x14ac:dyDescent="0.3">
      <c r="A62" s="135"/>
      <c r="B62" s="4">
        <v>57</v>
      </c>
      <c r="C62" s="57" t="s">
        <v>400</v>
      </c>
      <c r="D62" s="5" t="s">
        <v>4</v>
      </c>
      <c r="E62" s="5">
        <v>5</v>
      </c>
      <c r="F62" s="15" t="s">
        <v>401</v>
      </c>
      <c r="G62" s="8" t="s">
        <v>410</v>
      </c>
      <c r="H62" s="6"/>
      <c r="I62" s="6"/>
      <c r="J62" s="6"/>
      <c r="K62" s="6"/>
      <c r="L62" s="17">
        <v>172.4</v>
      </c>
      <c r="M62" s="17">
        <f t="shared" ref="M62:M66" si="3">L62*E62</f>
        <v>862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45"/>
      <c r="AP62" s="6"/>
      <c r="AQ62" s="50"/>
      <c r="AR62" s="6"/>
      <c r="AS62" s="6"/>
      <c r="AT62" s="6"/>
      <c r="AU62" s="6"/>
      <c r="AV62" s="7"/>
      <c r="AW62" s="7"/>
      <c r="AX62" s="7"/>
      <c r="AY62" s="7"/>
      <c r="AZ62" s="5"/>
      <c r="BA62" s="5"/>
      <c r="BB62" s="6"/>
      <c r="BC62" s="6"/>
      <c r="BD62" s="6"/>
      <c r="BE62" s="6"/>
      <c r="BF62" s="5"/>
      <c r="BG62" s="5"/>
      <c r="BH62" s="6"/>
      <c r="BI62" s="6"/>
      <c r="BJ62" s="6"/>
      <c r="BK62" s="6"/>
      <c r="BL62" s="6"/>
      <c r="BM62" s="6"/>
      <c r="BN62" s="6"/>
      <c r="BO62" s="6"/>
      <c r="BP62" s="6"/>
      <c r="BQ62" s="6"/>
    </row>
    <row r="63" spans="1:69" ht="28.8" x14ac:dyDescent="0.3">
      <c r="A63" s="135"/>
      <c r="B63" s="63">
        <v>58</v>
      </c>
      <c r="C63" s="57" t="s">
        <v>402</v>
      </c>
      <c r="D63" s="5" t="s">
        <v>4</v>
      </c>
      <c r="E63" s="5">
        <v>1</v>
      </c>
      <c r="F63" s="15" t="s">
        <v>403</v>
      </c>
      <c r="G63" s="8" t="s">
        <v>410</v>
      </c>
      <c r="H63" s="6" t="s">
        <v>990</v>
      </c>
      <c r="I63" s="6"/>
      <c r="J63" s="6"/>
      <c r="K63" s="6"/>
      <c r="L63" s="17">
        <v>1679.46</v>
      </c>
      <c r="M63" s="17">
        <f t="shared" si="3"/>
        <v>1679.46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45"/>
      <c r="AP63" s="6"/>
      <c r="AQ63" s="50"/>
      <c r="AR63" s="6"/>
      <c r="AS63" s="6"/>
      <c r="AT63" s="6"/>
      <c r="AU63" s="6"/>
      <c r="AV63" s="7"/>
      <c r="AW63" s="7"/>
      <c r="AX63" s="7"/>
      <c r="AY63" s="7"/>
      <c r="AZ63" s="5"/>
      <c r="BA63" s="5"/>
      <c r="BB63" s="6"/>
      <c r="BC63" s="6"/>
      <c r="BD63" s="6"/>
      <c r="BE63" s="6"/>
      <c r="BF63" s="5"/>
      <c r="BG63" s="5"/>
      <c r="BH63" s="6"/>
      <c r="BI63" s="6"/>
      <c r="BJ63" s="6"/>
      <c r="BK63" s="6"/>
      <c r="BL63" s="6"/>
      <c r="BM63" s="6"/>
      <c r="BN63" s="6"/>
      <c r="BO63" s="6"/>
      <c r="BP63" s="6"/>
      <c r="BQ63" s="6"/>
    </row>
    <row r="64" spans="1:69" ht="28.8" x14ac:dyDescent="0.3">
      <c r="A64" s="135"/>
      <c r="B64" s="63">
        <v>59</v>
      </c>
      <c r="C64" s="57" t="s">
        <v>404</v>
      </c>
      <c r="D64" s="5" t="s">
        <v>4</v>
      </c>
      <c r="E64" s="5">
        <v>1</v>
      </c>
      <c r="F64" s="15" t="s">
        <v>405</v>
      </c>
      <c r="G64" s="8" t="s">
        <v>410</v>
      </c>
      <c r="H64" s="6"/>
      <c r="I64" s="6"/>
      <c r="J64" s="6"/>
      <c r="K64" s="6"/>
      <c r="L64" s="17">
        <v>138.11000000000001</v>
      </c>
      <c r="M64" s="17">
        <f t="shared" si="3"/>
        <v>138.11000000000001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5"/>
      <c r="AP64" s="6"/>
      <c r="AQ64" s="50"/>
      <c r="AR64" s="6"/>
      <c r="AS64" s="6"/>
      <c r="AT64" s="6"/>
      <c r="AU64" s="6"/>
      <c r="AV64" s="7"/>
      <c r="AW64" s="7"/>
      <c r="AX64" s="7"/>
      <c r="AY64" s="7"/>
      <c r="AZ64" s="5"/>
      <c r="BA64" s="5"/>
      <c r="BB64" s="6"/>
      <c r="BC64" s="6"/>
      <c r="BD64" s="6"/>
      <c r="BE64" s="6"/>
      <c r="BF64" s="5"/>
      <c r="BG64" s="5"/>
      <c r="BH64" s="6"/>
      <c r="BI64" s="6"/>
      <c r="BJ64" s="6"/>
      <c r="BK64" s="6"/>
      <c r="BL64" s="6"/>
      <c r="BM64" s="6"/>
      <c r="BN64" s="6"/>
      <c r="BO64" s="6"/>
      <c r="BP64" s="6"/>
      <c r="BQ64" s="6"/>
    </row>
    <row r="65" spans="1:69" ht="14.4" customHeight="1" x14ac:dyDescent="0.3">
      <c r="A65" s="135"/>
      <c r="B65" s="63">
        <v>60</v>
      </c>
      <c r="C65" s="57" t="s">
        <v>406</v>
      </c>
      <c r="D65" s="5" t="s">
        <v>4</v>
      </c>
      <c r="E65" s="5">
        <v>1</v>
      </c>
      <c r="F65" s="15" t="s">
        <v>407</v>
      </c>
      <c r="G65" s="8" t="s">
        <v>410</v>
      </c>
      <c r="H65" s="6" t="s">
        <v>990</v>
      </c>
      <c r="I65" s="6"/>
      <c r="J65" s="6"/>
      <c r="K65" s="6"/>
      <c r="L65" s="17">
        <v>548.51</v>
      </c>
      <c r="M65" s="17">
        <f t="shared" si="3"/>
        <v>548.51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45"/>
      <c r="AP65" s="6"/>
      <c r="AQ65" s="50"/>
      <c r="AR65" s="6"/>
      <c r="AS65" s="6"/>
      <c r="AT65" s="6"/>
      <c r="AU65" s="6"/>
      <c r="AV65" s="7"/>
      <c r="AW65" s="7"/>
      <c r="AX65" s="7"/>
      <c r="AY65" s="7"/>
      <c r="AZ65" s="5"/>
      <c r="BA65" s="5"/>
      <c r="BB65" s="6"/>
      <c r="BC65" s="6"/>
      <c r="BD65" s="6"/>
      <c r="BE65" s="6"/>
      <c r="BF65" s="5"/>
      <c r="BG65" s="5"/>
      <c r="BH65" s="6"/>
      <c r="BI65" s="6"/>
      <c r="BJ65" s="6"/>
      <c r="BK65" s="6"/>
      <c r="BL65" s="6"/>
      <c r="BM65" s="6"/>
      <c r="BN65" s="6"/>
      <c r="BO65" s="6"/>
      <c r="BP65" s="6"/>
      <c r="BQ65" s="6"/>
    </row>
    <row r="66" spans="1:69" x14ac:dyDescent="0.3">
      <c r="A66" s="135"/>
      <c r="B66" s="63">
        <v>61</v>
      </c>
      <c r="C66" s="57" t="s">
        <v>408</v>
      </c>
      <c r="D66" s="5" t="s">
        <v>4</v>
      </c>
      <c r="E66" s="5">
        <v>1</v>
      </c>
      <c r="F66" s="15" t="s">
        <v>409</v>
      </c>
      <c r="G66" s="8" t="s">
        <v>410</v>
      </c>
      <c r="H66" s="6"/>
      <c r="I66" s="6"/>
      <c r="J66" s="6"/>
      <c r="K66" s="6"/>
      <c r="L66" s="17">
        <v>4896.3500000000004</v>
      </c>
      <c r="M66" s="17">
        <f t="shared" si="3"/>
        <v>4896.3500000000004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45"/>
      <c r="AP66" s="6"/>
      <c r="AQ66" s="50"/>
      <c r="AR66" s="6"/>
      <c r="AS66" s="6"/>
      <c r="AT66" s="6"/>
      <c r="AU66" s="6"/>
      <c r="AV66" s="7"/>
      <c r="AW66" s="7"/>
      <c r="AX66" s="7"/>
      <c r="AY66" s="7"/>
      <c r="AZ66" s="5"/>
      <c r="BA66" s="5"/>
      <c r="BB66" s="6"/>
      <c r="BC66" s="6"/>
      <c r="BD66" s="6"/>
      <c r="BE66" s="6"/>
      <c r="BF66" s="5"/>
      <c r="BG66" s="5"/>
      <c r="BH66" s="6"/>
      <c r="BI66" s="6"/>
      <c r="BJ66" s="6"/>
      <c r="BK66" s="6"/>
      <c r="BL66" s="6"/>
      <c r="BM66" s="6"/>
      <c r="BN66" s="6"/>
      <c r="BO66" s="6"/>
      <c r="BP66" s="6"/>
      <c r="BQ66" s="6"/>
    </row>
    <row r="67" spans="1:69" ht="43.2" x14ac:dyDescent="0.3">
      <c r="A67" s="135"/>
      <c r="B67" s="63">
        <v>62</v>
      </c>
      <c r="C67" s="57" t="s">
        <v>189</v>
      </c>
      <c r="D67" s="5" t="s">
        <v>4</v>
      </c>
      <c r="E67" s="5">
        <v>1</v>
      </c>
      <c r="F67" s="12" t="s">
        <v>39</v>
      </c>
      <c r="G67" s="8" t="s">
        <v>410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5"/>
      <c r="Y67" s="5"/>
      <c r="Z67" s="17">
        <v>2549</v>
      </c>
      <c r="AA67" s="17">
        <f>Z67*E67</f>
        <v>2549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45"/>
      <c r="AP67" s="6"/>
      <c r="AQ67" s="50"/>
      <c r="AR67" s="6"/>
      <c r="AS67" s="6"/>
      <c r="AT67" s="6"/>
      <c r="AU67" s="6"/>
      <c r="AV67" s="7"/>
      <c r="AW67" s="7"/>
      <c r="AX67" s="7"/>
      <c r="AY67" s="7"/>
      <c r="AZ67" s="5"/>
      <c r="BA67" s="5"/>
      <c r="BB67" s="6"/>
      <c r="BC67" s="6"/>
      <c r="BD67" s="6"/>
      <c r="BE67" s="6"/>
      <c r="BF67" s="5"/>
      <c r="BG67" s="5"/>
      <c r="BH67" s="6"/>
      <c r="BI67" s="6"/>
      <c r="BJ67" s="6"/>
      <c r="BK67" s="6"/>
      <c r="BL67" s="6"/>
      <c r="BM67" s="6"/>
      <c r="BN67" s="6"/>
      <c r="BO67" s="6"/>
      <c r="BP67" s="6"/>
      <c r="BQ67" s="6"/>
    </row>
    <row r="68" spans="1:69" ht="43.8" thickBot="1" x14ac:dyDescent="0.35">
      <c r="A68" s="136"/>
      <c r="B68" s="111">
        <v>63</v>
      </c>
      <c r="C68" s="57" t="s">
        <v>674</v>
      </c>
      <c r="D68" s="5" t="s">
        <v>4</v>
      </c>
      <c r="E68" s="5">
        <v>1</v>
      </c>
      <c r="F68" s="15" t="s">
        <v>676</v>
      </c>
      <c r="G68" s="10" t="s">
        <v>677</v>
      </c>
      <c r="H68" s="17">
        <v>5200</v>
      </c>
      <c r="I68" s="17">
        <f>H68*E68</f>
        <v>5200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6"/>
      <c r="AQ68" s="6"/>
      <c r="AR68" s="6"/>
      <c r="AS68" s="6"/>
      <c r="AT68" s="6"/>
      <c r="AU68" s="6"/>
      <c r="AV68" s="7"/>
      <c r="AW68" s="7"/>
      <c r="AX68" s="7"/>
      <c r="AY68" s="7"/>
      <c r="AZ68" s="5"/>
      <c r="BA68" s="5"/>
      <c r="BB68" s="6"/>
      <c r="BC68" s="6"/>
      <c r="BD68" s="6"/>
      <c r="BE68" s="6"/>
      <c r="BF68" s="5"/>
      <c r="BG68" s="5"/>
      <c r="BH68" s="6"/>
      <c r="BI68" s="6"/>
      <c r="BJ68" s="6"/>
      <c r="BK68" s="6"/>
      <c r="BL68" s="6"/>
      <c r="BM68" s="6"/>
      <c r="BN68" s="6"/>
      <c r="BO68" s="6"/>
      <c r="BP68" s="6"/>
      <c r="BQ68" s="6"/>
    </row>
    <row r="69" spans="1:69" ht="31.8" customHeight="1" x14ac:dyDescent="0.3">
      <c r="A69" s="134" t="s">
        <v>986</v>
      </c>
      <c r="B69" s="63">
        <v>64</v>
      </c>
      <c r="C69" s="57" t="s">
        <v>58</v>
      </c>
      <c r="D69" s="5" t="s">
        <v>4</v>
      </c>
      <c r="E69" s="5">
        <v>1</v>
      </c>
      <c r="F69" s="12" t="s">
        <v>59</v>
      </c>
      <c r="G69" s="10" t="s">
        <v>163</v>
      </c>
      <c r="H69" s="6"/>
      <c r="I69" s="6"/>
      <c r="J69" s="6"/>
      <c r="K69" s="6"/>
      <c r="L69" s="6"/>
      <c r="M69" s="6"/>
      <c r="N69" s="6"/>
      <c r="O69" s="6"/>
      <c r="P69" s="17">
        <v>5392.19</v>
      </c>
      <c r="Q69" s="17">
        <f>P69*E69</f>
        <v>5392.19</v>
      </c>
      <c r="R69" s="6"/>
      <c r="S69" s="6"/>
      <c r="T69" s="6"/>
      <c r="U69" s="6"/>
      <c r="V69" s="6"/>
      <c r="W69" s="6"/>
      <c r="X69" s="5"/>
      <c r="Y69" s="5"/>
      <c r="Z69" s="5"/>
      <c r="AA69" s="5"/>
      <c r="AB69" s="5"/>
      <c r="AC69" s="5"/>
      <c r="AD69" s="20"/>
      <c r="AE69" s="20"/>
      <c r="AF69" s="5"/>
      <c r="AG69" s="5"/>
      <c r="AH69" s="5"/>
      <c r="AI69" s="5"/>
      <c r="AJ69" s="5"/>
      <c r="AK69" s="5"/>
      <c r="AL69" s="5"/>
      <c r="AM69" s="5"/>
      <c r="AN69" s="5"/>
      <c r="AO69" s="45"/>
      <c r="AP69" s="6"/>
      <c r="AQ69" s="50"/>
      <c r="AR69" s="6"/>
      <c r="AS69" s="6"/>
      <c r="AT69" s="6"/>
      <c r="AU69" s="6"/>
      <c r="AV69" s="7"/>
      <c r="AW69" s="7"/>
      <c r="AX69" s="7"/>
      <c r="AY69" s="7"/>
      <c r="AZ69" s="5"/>
      <c r="BA69" s="5"/>
      <c r="BB69" s="6"/>
      <c r="BC69" s="6"/>
      <c r="BD69" s="6"/>
      <c r="BE69" s="6"/>
      <c r="BF69" s="5"/>
      <c r="BG69" s="5"/>
      <c r="BH69" s="6"/>
      <c r="BI69" s="6"/>
      <c r="BJ69" s="6"/>
      <c r="BK69" s="6"/>
      <c r="BL69" s="6"/>
      <c r="BM69" s="6"/>
      <c r="BN69" s="6"/>
      <c r="BO69" s="6"/>
      <c r="BP69" s="6"/>
      <c r="BQ69" s="6"/>
    </row>
    <row r="70" spans="1:69" ht="31.8" customHeight="1" x14ac:dyDescent="0.3">
      <c r="A70" s="135"/>
      <c r="B70" s="63">
        <v>65</v>
      </c>
      <c r="C70" s="57" t="s">
        <v>221</v>
      </c>
      <c r="D70" s="5" t="s">
        <v>4</v>
      </c>
      <c r="E70" s="5">
        <v>1</v>
      </c>
      <c r="F70" s="15" t="s">
        <v>222</v>
      </c>
      <c r="G70" s="10" t="s">
        <v>163</v>
      </c>
      <c r="H70" s="114" t="s">
        <v>1001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37">
        <v>4881.6000000000004</v>
      </c>
      <c r="W70" s="37">
        <f>V70*E70</f>
        <v>4881.6000000000004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45"/>
      <c r="AP70" s="6"/>
      <c r="AQ70" s="50"/>
      <c r="AR70" s="6"/>
      <c r="AS70" s="6"/>
      <c r="AT70" s="6"/>
      <c r="AU70" s="6"/>
      <c r="AV70" s="7"/>
      <c r="AW70" s="7"/>
      <c r="AX70" s="7"/>
      <c r="AY70" s="7"/>
      <c r="AZ70" s="5"/>
      <c r="BA70" s="5"/>
      <c r="BB70" s="6"/>
      <c r="BC70" s="6"/>
      <c r="BD70" s="6"/>
      <c r="BE70" s="6"/>
      <c r="BF70" s="5"/>
      <c r="BG70" s="5"/>
      <c r="BH70" s="6"/>
      <c r="BI70" s="6"/>
      <c r="BJ70" s="6"/>
      <c r="BK70" s="6"/>
      <c r="BL70" s="6"/>
      <c r="BM70" s="6"/>
      <c r="BN70" s="6"/>
      <c r="BO70" s="6"/>
      <c r="BP70" s="6"/>
      <c r="BQ70" s="6"/>
    </row>
    <row r="71" spans="1:69" ht="31.8" customHeight="1" x14ac:dyDescent="0.3">
      <c r="A71" s="135"/>
      <c r="B71" s="63">
        <v>66</v>
      </c>
      <c r="C71" s="57" t="s">
        <v>200</v>
      </c>
      <c r="D71" s="5" t="s">
        <v>4</v>
      </c>
      <c r="E71" s="5">
        <v>1</v>
      </c>
      <c r="F71" s="15" t="s">
        <v>201</v>
      </c>
      <c r="G71" s="10" t="s">
        <v>203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5"/>
      <c r="Y71" s="5"/>
      <c r="Z71" s="5"/>
      <c r="AA71" s="5"/>
      <c r="AB71" s="5"/>
      <c r="AC71" s="5"/>
      <c r="AD71" s="5"/>
      <c r="AE71" s="5"/>
      <c r="AF71" s="17">
        <v>2424.6</v>
      </c>
      <c r="AG71" s="17">
        <f>AF71*E71</f>
        <v>2424.6</v>
      </c>
      <c r="AH71" s="5"/>
      <c r="AI71" s="5"/>
      <c r="AJ71" s="5"/>
      <c r="AK71" s="5"/>
      <c r="AL71" s="5"/>
      <c r="AM71" s="5"/>
      <c r="AN71" s="5"/>
      <c r="AO71" s="45"/>
      <c r="AP71" s="6"/>
      <c r="AQ71" s="50"/>
      <c r="AR71" s="6"/>
      <c r="AS71" s="6"/>
      <c r="AT71" s="6"/>
      <c r="AU71" s="6"/>
      <c r="AV71" s="7"/>
      <c r="AW71" s="7"/>
      <c r="AX71" s="7"/>
      <c r="AY71" s="7"/>
      <c r="AZ71" s="5"/>
      <c r="BA71" s="5"/>
      <c r="BB71" s="6"/>
      <c r="BC71" s="6"/>
      <c r="BD71" s="6"/>
      <c r="BE71" s="6"/>
      <c r="BF71" s="5"/>
      <c r="BG71" s="5"/>
      <c r="BH71" s="6"/>
      <c r="BI71" s="6"/>
      <c r="BJ71" s="6"/>
      <c r="BK71" s="6"/>
      <c r="BL71" s="6"/>
      <c r="BM71" s="6"/>
      <c r="BN71" s="6"/>
      <c r="BO71" s="6"/>
      <c r="BP71" s="6"/>
      <c r="BQ71" s="6"/>
    </row>
    <row r="72" spans="1:69" ht="31.8" customHeight="1" x14ac:dyDescent="0.3">
      <c r="A72" s="135"/>
      <c r="B72" s="111">
        <v>67</v>
      </c>
      <c r="C72" s="57" t="s">
        <v>200</v>
      </c>
      <c r="D72" s="5" t="s">
        <v>4</v>
      </c>
      <c r="E72" s="5">
        <v>1</v>
      </c>
      <c r="F72" s="15" t="s">
        <v>204</v>
      </c>
      <c r="G72" s="10" t="s">
        <v>203</v>
      </c>
      <c r="H72" s="17">
        <v>986</v>
      </c>
      <c r="I72" s="17">
        <f>H72*E72</f>
        <v>986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45"/>
      <c r="AP72" s="6"/>
      <c r="AQ72" s="50"/>
      <c r="AR72" s="6"/>
      <c r="AS72" s="6"/>
      <c r="AT72" s="6"/>
      <c r="AU72" s="6"/>
      <c r="AV72" s="7"/>
      <c r="AW72" s="7"/>
      <c r="AX72" s="7"/>
      <c r="AY72" s="7"/>
      <c r="AZ72" s="5"/>
      <c r="BA72" s="5"/>
      <c r="BB72" s="6"/>
      <c r="BC72" s="6"/>
      <c r="BD72" s="6"/>
      <c r="BE72" s="6"/>
      <c r="BF72" s="5"/>
      <c r="BG72" s="5"/>
      <c r="BH72" s="6"/>
      <c r="BI72" s="6"/>
      <c r="BJ72" s="6"/>
      <c r="BK72" s="6"/>
      <c r="BL72" s="6"/>
      <c r="BM72" s="6"/>
      <c r="BN72" s="6"/>
      <c r="BO72" s="6"/>
      <c r="BP72" s="6"/>
      <c r="BQ72" s="6"/>
    </row>
    <row r="73" spans="1:69" ht="31.8" customHeight="1" x14ac:dyDescent="0.3">
      <c r="A73" s="135"/>
      <c r="B73" s="111">
        <v>68</v>
      </c>
      <c r="C73" s="62" t="s">
        <v>60</v>
      </c>
      <c r="D73" s="30" t="s">
        <v>4</v>
      </c>
      <c r="E73" s="30">
        <v>4</v>
      </c>
      <c r="F73" s="13" t="s">
        <v>61</v>
      </c>
      <c r="G73" s="32" t="s">
        <v>164</v>
      </c>
      <c r="H73" s="34">
        <v>458</v>
      </c>
      <c r="I73" s="34">
        <f t="shared" ref="I73:I75" si="4">H73*E73</f>
        <v>1832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0"/>
      <c r="Y73" s="30"/>
      <c r="Z73" s="30"/>
      <c r="AA73" s="30"/>
      <c r="AB73" s="30"/>
      <c r="AC73" s="30"/>
      <c r="AD73" s="35"/>
      <c r="AE73" s="35"/>
      <c r="AF73" s="30"/>
      <c r="AG73" s="30"/>
      <c r="AH73" s="30"/>
      <c r="AI73" s="30"/>
      <c r="AJ73" s="30"/>
      <c r="AK73" s="30"/>
      <c r="AL73" s="30"/>
      <c r="AM73" s="30"/>
      <c r="AN73" s="30"/>
      <c r="AO73" s="47"/>
      <c r="AP73" s="6"/>
      <c r="AQ73" s="50"/>
      <c r="AR73" s="6"/>
      <c r="AS73" s="6"/>
      <c r="AT73" s="6"/>
      <c r="AU73" s="6"/>
      <c r="AV73" s="7"/>
      <c r="AW73" s="7"/>
      <c r="AX73" s="7"/>
      <c r="AY73" s="7"/>
      <c r="AZ73" s="5"/>
      <c r="BA73" s="5"/>
      <c r="BB73" s="6"/>
      <c r="BC73" s="6"/>
      <c r="BD73" s="6"/>
      <c r="BE73" s="6"/>
      <c r="BF73" s="5"/>
      <c r="BG73" s="5"/>
      <c r="BH73" s="6"/>
      <c r="BI73" s="6"/>
      <c r="BJ73" s="6"/>
      <c r="BK73" s="6"/>
      <c r="BL73" s="6"/>
      <c r="BM73" s="6"/>
      <c r="BN73" s="6"/>
      <c r="BO73" s="6"/>
      <c r="BP73" s="6"/>
      <c r="BQ73" s="6"/>
    </row>
    <row r="74" spans="1:69" ht="45" customHeight="1" x14ac:dyDescent="0.3">
      <c r="A74" s="135"/>
      <c r="B74" s="111">
        <v>69</v>
      </c>
      <c r="C74" s="57" t="s">
        <v>62</v>
      </c>
      <c r="D74" s="5" t="s">
        <v>4</v>
      </c>
      <c r="E74" s="5">
        <v>2</v>
      </c>
      <c r="F74" s="12" t="s">
        <v>63</v>
      </c>
      <c r="G74" s="10" t="s">
        <v>165</v>
      </c>
      <c r="H74" s="17">
        <v>558.96</v>
      </c>
      <c r="I74" s="17">
        <f t="shared" si="4"/>
        <v>1117.92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5"/>
      <c r="Y74" s="5"/>
      <c r="Z74" s="5"/>
      <c r="AA74" s="5"/>
      <c r="AB74" s="5"/>
      <c r="AC74" s="5"/>
      <c r="AD74" s="20"/>
      <c r="AE74" s="20"/>
      <c r="AF74" s="5"/>
      <c r="AG74" s="5"/>
      <c r="AH74" s="5"/>
      <c r="AI74" s="5"/>
      <c r="AJ74" s="5"/>
      <c r="AK74" s="5"/>
      <c r="AL74" s="5"/>
      <c r="AM74" s="5"/>
      <c r="AN74" s="5"/>
      <c r="AO74" s="45"/>
      <c r="AP74" s="6"/>
      <c r="AQ74" s="50"/>
      <c r="AR74" s="6"/>
      <c r="AS74" s="6"/>
      <c r="AT74" s="6"/>
      <c r="AU74" s="6"/>
      <c r="AV74" s="7"/>
      <c r="AW74" s="7"/>
      <c r="AX74" s="7"/>
      <c r="AY74" s="7"/>
      <c r="AZ74" s="5"/>
      <c r="BA74" s="5"/>
      <c r="BB74" s="6"/>
      <c r="BC74" s="6"/>
      <c r="BD74" s="6"/>
      <c r="BE74" s="6"/>
      <c r="BF74" s="5"/>
      <c r="BG74" s="5"/>
      <c r="BH74" s="6"/>
      <c r="BI74" s="6"/>
      <c r="BJ74" s="6"/>
      <c r="BK74" s="6"/>
      <c r="BL74" s="6"/>
      <c r="BM74" s="6"/>
      <c r="BN74" s="6"/>
      <c r="BO74" s="6"/>
      <c r="BP74" s="6"/>
      <c r="BQ74" s="6"/>
    </row>
    <row r="75" spans="1:69" ht="31.8" customHeight="1" x14ac:dyDescent="0.3">
      <c r="A75" s="135"/>
      <c r="B75" s="111">
        <v>70</v>
      </c>
      <c r="C75" s="57" t="s">
        <v>64</v>
      </c>
      <c r="D75" s="5" t="s">
        <v>4</v>
      </c>
      <c r="E75" s="5">
        <v>3</v>
      </c>
      <c r="F75" s="12" t="s">
        <v>65</v>
      </c>
      <c r="G75" s="8" t="s">
        <v>56</v>
      </c>
      <c r="H75" s="17">
        <v>419</v>
      </c>
      <c r="I75" s="17">
        <f t="shared" si="4"/>
        <v>1257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5"/>
      <c r="Y75" s="5"/>
      <c r="Z75" s="5"/>
      <c r="AA75" s="5"/>
      <c r="AB75" s="5"/>
      <c r="AC75" s="5"/>
      <c r="AD75" s="20"/>
      <c r="AE75" s="20"/>
      <c r="AF75" s="5"/>
      <c r="AG75" s="5"/>
      <c r="AH75" s="5"/>
      <c r="AI75" s="5"/>
      <c r="AJ75" s="5"/>
      <c r="AK75" s="5"/>
      <c r="AL75" s="5"/>
      <c r="AM75" s="5"/>
      <c r="AN75" s="5"/>
      <c r="AO75" s="45"/>
      <c r="AP75" s="6"/>
      <c r="AQ75" s="50"/>
      <c r="AR75" s="6"/>
      <c r="AS75" s="6"/>
      <c r="AT75" s="6"/>
      <c r="AU75" s="6"/>
      <c r="AV75" s="7"/>
      <c r="AW75" s="7"/>
      <c r="AX75" s="7"/>
      <c r="AY75" s="7"/>
      <c r="AZ75" s="5"/>
      <c r="BA75" s="5"/>
      <c r="BB75" s="6"/>
      <c r="BC75" s="6"/>
      <c r="BD75" s="6"/>
      <c r="BE75" s="6"/>
      <c r="BF75" s="5"/>
      <c r="BG75" s="5"/>
      <c r="BH75" s="6"/>
      <c r="BI75" s="6"/>
      <c r="BJ75" s="6"/>
      <c r="BK75" s="6"/>
      <c r="BL75" s="6"/>
      <c r="BM75" s="6"/>
      <c r="BN75" s="6"/>
      <c r="BO75" s="6"/>
      <c r="BP75" s="6"/>
      <c r="BQ75" s="6"/>
    </row>
    <row r="76" spans="1:69" ht="31.8" customHeight="1" x14ac:dyDescent="0.3">
      <c r="A76" s="135"/>
      <c r="B76" s="63">
        <v>71</v>
      </c>
      <c r="C76" s="57" t="s">
        <v>66</v>
      </c>
      <c r="D76" s="5" t="s">
        <v>4</v>
      </c>
      <c r="E76" s="5">
        <v>2</v>
      </c>
      <c r="F76" s="12" t="s">
        <v>213</v>
      </c>
      <c r="G76" s="8" t="s">
        <v>56</v>
      </c>
      <c r="H76" s="19"/>
      <c r="I76" s="19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37">
        <v>773.46</v>
      </c>
      <c r="W76" s="37">
        <f>V76*E76</f>
        <v>1546.92</v>
      </c>
      <c r="X76" s="5"/>
      <c r="Y76" s="5"/>
      <c r="Z76" s="5"/>
      <c r="AA76" s="5"/>
      <c r="AB76" s="5"/>
      <c r="AC76" s="5"/>
      <c r="AD76" s="20"/>
      <c r="AE76" s="20"/>
      <c r="AF76" s="5"/>
      <c r="AG76" s="5"/>
      <c r="AH76" s="5"/>
      <c r="AI76" s="5"/>
      <c r="AJ76" s="5"/>
      <c r="AK76" s="5"/>
      <c r="AL76" s="5"/>
      <c r="AM76" s="5"/>
      <c r="AN76" s="5"/>
      <c r="AO76" s="45"/>
      <c r="AP76" s="6"/>
      <c r="AQ76" s="50"/>
      <c r="AR76" s="6"/>
      <c r="AS76" s="6"/>
      <c r="AT76" s="6"/>
      <c r="AU76" s="6"/>
      <c r="AV76" s="7"/>
      <c r="AW76" s="7"/>
      <c r="AX76" s="7"/>
      <c r="AY76" s="7"/>
      <c r="AZ76" s="5"/>
      <c r="BA76" s="5"/>
      <c r="BB76" s="6"/>
      <c r="BC76" s="6"/>
      <c r="BD76" s="6"/>
      <c r="BE76" s="6"/>
      <c r="BF76" s="5"/>
      <c r="BG76" s="5"/>
      <c r="BH76" s="6"/>
      <c r="BI76" s="6"/>
      <c r="BJ76" s="6"/>
      <c r="BK76" s="6"/>
      <c r="BL76" s="6"/>
      <c r="BM76" s="6"/>
      <c r="BN76" s="6"/>
      <c r="BO76" s="6"/>
      <c r="BP76" s="6"/>
      <c r="BQ76" s="6"/>
    </row>
    <row r="77" spans="1:69" ht="31.8" customHeight="1" x14ac:dyDescent="0.3">
      <c r="A77" s="135"/>
      <c r="B77" s="63">
        <v>72</v>
      </c>
      <c r="C77" s="57" t="s">
        <v>66</v>
      </c>
      <c r="D77" s="5" t="s">
        <v>4</v>
      </c>
      <c r="E77" s="5">
        <v>1</v>
      </c>
      <c r="F77" s="12" t="s">
        <v>214</v>
      </c>
      <c r="G77" s="8" t="s">
        <v>56</v>
      </c>
      <c r="H77" s="19"/>
      <c r="I77" s="19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37">
        <v>771.84</v>
      </c>
      <c r="W77" s="37">
        <f>V77*E77</f>
        <v>771.84</v>
      </c>
      <c r="X77" s="5"/>
      <c r="Y77" s="5"/>
      <c r="Z77" s="5"/>
      <c r="AA77" s="5"/>
      <c r="AB77" s="5"/>
      <c r="AC77" s="5"/>
      <c r="AD77" s="20"/>
      <c r="AE77" s="20"/>
      <c r="AF77" s="5"/>
      <c r="AG77" s="5"/>
      <c r="AH77" s="5"/>
      <c r="AI77" s="5"/>
      <c r="AJ77" s="5"/>
      <c r="AK77" s="5"/>
      <c r="AL77" s="5"/>
      <c r="AM77" s="5"/>
      <c r="AN77" s="5"/>
      <c r="AO77" s="45"/>
      <c r="AP77" s="6"/>
      <c r="AQ77" s="50"/>
      <c r="AR77" s="6"/>
      <c r="AS77" s="6"/>
      <c r="AT77" s="6"/>
      <c r="AU77" s="6"/>
      <c r="AV77" s="7"/>
      <c r="AW77" s="7"/>
      <c r="AX77" s="7"/>
      <c r="AY77" s="7"/>
      <c r="AZ77" s="5"/>
      <c r="BA77" s="5"/>
      <c r="BB77" s="6"/>
      <c r="BC77" s="6"/>
      <c r="BD77" s="6"/>
      <c r="BE77" s="6"/>
      <c r="BF77" s="5"/>
      <c r="BG77" s="5"/>
      <c r="BH77" s="6"/>
      <c r="BI77" s="6"/>
      <c r="BJ77" s="6"/>
      <c r="BK77" s="6"/>
      <c r="BL77" s="6"/>
      <c r="BM77" s="6"/>
      <c r="BN77" s="6"/>
      <c r="BO77" s="6"/>
      <c r="BP77" s="6"/>
      <c r="BQ77" s="6"/>
    </row>
    <row r="78" spans="1:69" ht="31.8" customHeight="1" x14ac:dyDescent="0.3">
      <c r="A78" s="135"/>
      <c r="B78" s="111">
        <v>73</v>
      </c>
      <c r="C78" s="57" t="s">
        <v>225</v>
      </c>
      <c r="D78" s="5" t="s">
        <v>4</v>
      </c>
      <c r="E78" s="5">
        <v>2</v>
      </c>
      <c r="F78" s="15" t="s">
        <v>226</v>
      </c>
      <c r="G78" s="8" t="s">
        <v>56</v>
      </c>
      <c r="H78" s="37">
        <v>345</v>
      </c>
      <c r="I78" s="37">
        <f>H78*E78</f>
        <v>690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45"/>
      <c r="AP78" s="6"/>
      <c r="AQ78" s="50"/>
      <c r="AR78" s="6"/>
      <c r="AS78" s="6"/>
      <c r="AT78" s="6"/>
      <c r="AU78" s="6"/>
      <c r="AV78" s="7"/>
      <c r="AW78" s="7"/>
      <c r="AX78" s="7"/>
      <c r="AY78" s="7"/>
      <c r="AZ78" s="5"/>
      <c r="BA78" s="5"/>
      <c r="BB78" s="6"/>
      <c r="BC78" s="6"/>
      <c r="BD78" s="6"/>
      <c r="BE78" s="6"/>
      <c r="BF78" s="5"/>
      <c r="BG78" s="5"/>
      <c r="BH78" s="6"/>
      <c r="BI78" s="6"/>
      <c r="BJ78" s="6"/>
      <c r="BK78" s="6"/>
      <c r="BL78" s="6"/>
      <c r="BM78" s="6"/>
      <c r="BN78" s="6"/>
      <c r="BO78" s="6"/>
      <c r="BP78" s="6"/>
      <c r="BQ78" s="6"/>
    </row>
    <row r="79" spans="1:69" ht="31.8" customHeight="1" x14ac:dyDescent="0.3">
      <c r="A79" s="135"/>
      <c r="B79" s="63">
        <v>74</v>
      </c>
      <c r="C79" s="57" t="s">
        <v>215</v>
      </c>
      <c r="D79" s="5" t="s">
        <v>4</v>
      </c>
      <c r="E79" s="5">
        <v>2</v>
      </c>
      <c r="F79" s="15" t="s">
        <v>216</v>
      </c>
      <c r="G79" s="8" t="s">
        <v>56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37">
        <v>325.44</v>
      </c>
      <c r="W79" s="37">
        <f>V79*E79</f>
        <v>650.88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45"/>
      <c r="AP79" s="6"/>
      <c r="AQ79" s="50"/>
      <c r="AR79" s="6"/>
      <c r="AS79" s="6"/>
      <c r="AT79" s="6"/>
      <c r="AU79" s="6"/>
      <c r="AV79" s="7"/>
      <c r="AW79" s="7"/>
      <c r="AX79" s="7"/>
      <c r="AY79" s="7"/>
      <c r="AZ79" s="5"/>
      <c r="BA79" s="5"/>
      <c r="BB79" s="6"/>
      <c r="BC79" s="6"/>
      <c r="BD79" s="6"/>
      <c r="BE79" s="6"/>
      <c r="BF79" s="5"/>
      <c r="BG79" s="5"/>
      <c r="BH79" s="6"/>
      <c r="BI79" s="6"/>
      <c r="BJ79" s="6"/>
      <c r="BK79" s="6"/>
      <c r="BL79" s="6"/>
      <c r="BM79" s="6"/>
      <c r="BN79" s="6"/>
      <c r="BO79" s="6"/>
      <c r="BP79" s="6"/>
      <c r="BQ79" s="6"/>
    </row>
    <row r="80" spans="1:69" ht="31.8" customHeight="1" x14ac:dyDescent="0.3">
      <c r="A80" s="135"/>
      <c r="B80" s="63">
        <v>76</v>
      </c>
      <c r="C80" s="57" t="s">
        <v>218</v>
      </c>
      <c r="D80" s="5" t="s">
        <v>4</v>
      </c>
      <c r="E80" s="5">
        <v>1</v>
      </c>
      <c r="F80" s="15" t="s">
        <v>217</v>
      </c>
      <c r="G80" s="10" t="s">
        <v>227</v>
      </c>
      <c r="H80" s="6"/>
      <c r="I80" s="6"/>
      <c r="J80" s="6"/>
      <c r="K80" s="6"/>
      <c r="L80" s="6"/>
      <c r="M80" s="6"/>
      <c r="N80" s="6"/>
      <c r="O80" s="6"/>
      <c r="P80" s="37">
        <v>586.66999999999996</v>
      </c>
      <c r="Q80" s="37">
        <f>P80*E80</f>
        <v>586.66999999999996</v>
      </c>
      <c r="R80" s="6"/>
      <c r="S80" s="6"/>
      <c r="T80" s="6"/>
      <c r="U80" s="6"/>
      <c r="V80" s="6"/>
      <c r="W80" s="6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45"/>
      <c r="AP80" s="6"/>
      <c r="AQ80" s="50"/>
      <c r="AR80" s="6"/>
      <c r="AS80" s="6"/>
      <c r="AT80" s="6"/>
      <c r="AU80" s="6"/>
      <c r="AV80" s="7"/>
      <c r="AW80" s="7"/>
      <c r="AX80" s="7"/>
      <c r="AY80" s="7"/>
      <c r="AZ80" s="5"/>
      <c r="BA80" s="5"/>
      <c r="BB80" s="6"/>
      <c r="BC80" s="6"/>
      <c r="BD80" s="6"/>
      <c r="BE80" s="6"/>
      <c r="BF80" s="5"/>
      <c r="BG80" s="5"/>
      <c r="BH80" s="6"/>
      <c r="BI80" s="6"/>
      <c r="BJ80" s="6"/>
      <c r="BK80" s="6"/>
      <c r="BL80" s="6"/>
      <c r="BM80" s="6"/>
      <c r="BN80" s="6"/>
      <c r="BO80" s="6"/>
      <c r="BP80" s="6"/>
      <c r="BQ80" s="6"/>
    </row>
    <row r="81" spans="1:69" ht="31.8" customHeight="1" x14ac:dyDescent="0.3">
      <c r="A81" s="135"/>
      <c r="B81" s="63">
        <v>77</v>
      </c>
      <c r="C81" s="57" t="s">
        <v>219</v>
      </c>
      <c r="D81" s="5" t="s">
        <v>4</v>
      </c>
      <c r="E81" s="5">
        <v>3</v>
      </c>
      <c r="F81" s="15" t="s">
        <v>220</v>
      </c>
      <c r="G81" s="8" t="s">
        <v>56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37">
        <v>189.84</v>
      </c>
      <c r="W81" s="37">
        <f>V81*E81</f>
        <v>569.52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45"/>
      <c r="AP81" s="6"/>
      <c r="AQ81" s="50"/>
      <c r="AR81" s="6"/>
      <c r="AS81" s="6"/>
      <c r="AT81" s="6"/>
      <c r="AU81" s="6"/>
      <c r="AV81" s="7"/>
      <c r="AW81" s="7"/>
      <c r="AX81" s="7"/>
      <c r="AY81" s="7"/>
      <c r="AZ81" s="5"/>
      <c r="BA81" s="5"/>
      <c r="BB81" s="6"/>
      <c r="BC81" s="6"/>
      <c r="BD81" s="6"/>
      <c r="BE81" s="6"/>
      <c r="BF81" s="5"/>
      <c r="BG81" s="5"/>
      <c r="BH81" s="6"/>
      <c r="BI81" s="6"/>
      <c r="BJ81" s="6"/>
      <c r="BK81" s="6"/>
      <c r="BL81" s="6"/>
      <c r="BM81" s="6"/>
      <c r="BN81" s="6"/>
      <c r="BO81" s="6"/>
      <c r="BP81" s="6"/>
      <c r="BQ81" s="6"/>
    </row>
    <row r="82" spans="1:69" ht="31.8" customHeight="1" x14ac:dyDescent="0.3">
      <c r="A82" s="135"/>
      <c r="B82" s="63">
        <v>78</v>
      </c>
      <c r="C82" s="57" t="s">
        <v>68</v>
      </c>
      <c r="D82" s="5" t="s">
        <v>4</v>
      </c>
      <c r="E82" s="5">
        <v>2</v>
      </c>
      <c r="F82" s="12" t="s">
        <v>67</v>
      </c>
      <c r="G82" s="10" t="s">
        <v>167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17">
        <v>1241.6600000000001</v>
      </c>
      <c r="S82" s="17">
        <f>R82*E82</f>
        <v>2483.3200000000002</v>
      </c>
      <c r="T82" s="6"/>
      <c r="U82" s="6"/>
      <c r="V82" s="6"/>
      <c r="W82" s="6"/>
      <c r="X82" s="5"/>
      <c r="Y82" s="5"/>
      <c r="Z82" s="5"/>
      <c r="AA82" s="5"/>
      <c r="AB82" s="5"/>
      <c r="AC82" s="5"/>
      <c r="AD82" s="20"/>
      <c r="AE82" s="20"/>
      <c r="AF82" s="5"/>
      <c r="AG82" s="5"/>
      <c r="AH82" s="5"/>
      <c r="AI82" s="5"/>
      <c r="AJ82" s="5"/>
      <c r="AK82" s="5"/>
      <c r="AL82" s="5"/>
      <c r="AM82" s="5"/>
      <c r="AN82" s="5"/>
      <c r="AO82" s="45"/>
      <c r="AP82" s="6"/>
      <c r="AQ82" s="50"/>
      <c r="AR82" s="6"/>
      <c r="AS82" s="6"/>
      <c r="AT82" s="6"/>
      <c r="AU82" s="6"/>
      <c r="AV82" s="7"/>
      <c r="AW82" s="7"/>
      <c r="AX82" s="7"/>
      <c r="AY82" s="7"/>
      <c r="AZ82" s="5"/>
      <c r="BA82" s="5"/>
      <c r="BB82" s="6"/>
      <c r="BC82" s="6"/>
      <c r="BD82" s="6"/>
      <c r="BE82" s="6"/>
      <c r="BF82" s="5"/>
      <c r="BG82" s="5"/>
      <c r="BH82" s="6"/>
      <c r="BI82" s="6"/>
      <c r="BJ82" s="6"/>
      <c r="BK82" s="6"/>
      <c r="BL82" s="6"/>
      <c r="BM82" s="6"/>
      <c r="BN82" s="6"/>
      <c r="BO82" s="6"/>
      <c r="BP82" s="6"/>
      <c r="BQ82" s="6"/>
    </row>
    <row r="83" spans="1:69" ht="31.8" customHeight="1" x14ac:dyDescent="0.3">
      <c r="A83" s="135"/>
      <c r="B83" s="63">
        <v>79</v>
      </c>
      <c r="C83" s="57" t="s">
        <v>69</v>
      </c>
      <c r="D83" s="5" t="s">
        <v>4</v>
      </c>
      <c r="E83" s="5">
        <v>3</v>
      </c>
      <c r="F83" s="15" t="s">
        <v>223</v>
      </c>
      <c r="G83" s="8" t="s">
        <v>56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37">
        <v>59.66</v>
      </c>
      <c r="W83" s="37">
        <f>V83*E83</f>
        <v>178.98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45"/>
      <c r="AP83" s="6"/>
      <c r="AQ83" s="50"/>
      <c r="AR83" s="6"/>
      <c r="AS83" s="6"/>
      <c r="AT83" s="6"/>
      <c r="AU83" s="6"/>
      <c r="AV83" s="7"/>
      <c r="AW83" s="7"/>
      <c r="AX83" s="7"/>
      <c r="AY83" s="7"/>
      <c r="AZ83" s="5"/>
      <c r="BA83" s="5"/>
      <c r="BB83" s="6"/>
      <c r="BC83" s="6"/>
      <c r="BD83" s="6"/>
      <c r="BE83" s="6"/>
      <c r="BF83" s="5"/>
      <c r="BG83" s="5"/>
      <c r="BH83" s="6"/>
      <c r="BI83" s="6"/>
      <c r="BJ83" s="6"/>
      <c r="BK83" s="6"/>
      <c r="BL83" s="6"/>
      <c r="BM83" s="6"/>
      <c r="BN83" s="6"/>
      <c r="BO83" s="6"/>
      <c r="BP83" s="6"/>
      <c r="BQ83" s="6"/>
    </row>
    <row r="84" spans="1:69" ht="31.8" customHeight="1" x14ac:dyDescent="0.3">
      <c r="A84" s="135"/>
      <c r="B84" s="63">
        <v>80</v>
      </c>
      <c r="C84" s="57" t="s">
        <v>69</v>
      </c>
      <c r="D84" s="5" t="s">
        <v>4</v>
      </c>
      <c r="E84" s="5">
        <v>2</v>
      </c>
      <c r="F84" s="15" t="s">
        <v>224</v>
      </c>
      <c r="G84" s="8" t="s">
        <v>56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37">
        <v>65.09</v>
      </c>
      <c r="W84" s="37">
        <f>V84*E84</f>
        <v>130.18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45"/>
      <c r="AP84" s="6"/>
      <c r="AQ84" s="50"/>
      <c r="AR84" s="6"/>
      <c r="AS84" s="6"/>
      <c r="AT84" s="6"/>
      <c r="AU84" s="6"/>
      <c r="AV84" s="7"/>
      <c r="AW84" s="7"/>
      <c r="AX84" s="7"/>
      <c r="AY84" s="7"/>
      <c r="AZ84" s="5"/>
      <c r="BA84" s="5"/>
      <c r="BB84" s="6"/>
      <c r="BC84" s="6"/>
      <c r="BD84" s="6"/>
      <c r="BE84" s="6"/>
      <c r="BF84" s="5"/>
      <c r="BG84" s="5"/>
      <c r="BH84" s="6"/>
      <c r="BI84" s="6"/>
      <c r="BJ84" s="6"/>
      <c r="BK84" s="6"/>
      <c r="BL84" s="6"/>
      <c r="BM84" s="6"/>
      <c r="BN84" s="6"/>
      <c r="BO84" s="6"/>
      <c r="BP84" s="6"/>
      <c r="BQ84" s="6"/>
    </row>
    <row r="85" spans="1:69" ht="31.8" customHeight="1" x14ac:dyDescent="0.3">
      <c r="A85" s="135"/>
      <c r="B85" s="112">
        <v>81</v>
      </c>
      <c r="C85" s="57" t="s">
        <v>70</v>
      </c>
      <c r="D85" s="5" t="s">
        <v>4</v>
      </c>
      <c r="E85" s="5">
        <v>2</v>
      </c>
      <c r="F85" s="12" t="s">
        <v>71</v>
      </c>
      <c r="G85" s="8" t="s">
        <v>56</v>
      </c>
      <c r="H85" s="17">
        <v>273.5</v>
      </c>
      <c r="I85" s="17">
        <f>H85*E85</f>
        <v>547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5"/>
      <c r="Y85" s="5"/>
      <c r="Z85" s="5"/>
      <c r="AA85" s="5"/>
      <c r="AB85" s="5"/>
      <c r="AC85" s="5"/>
      <c r="AD85" s="20"/>
      <c r="AE85" s="20"/>
      <c r="AF85" s="5"/>
      <c r="AG85" s="5"/>
      <c r="AH85" s="5"/>
      <c r="AI85" s="5"/>
      <c r="AJ85" s="5"/>
      <c r="AK85" s="5"/>
      <c r="AL85" s="5"/>
      <c r="AM85" s="5"/>
      <c r="AN85" s="5"/>
      <c r="AO85" s="45"/>
      <c r="AP85" s="6"/>
      <c r="AQ85" s="50"/>
      <c r="AR85" s="6"/>
      <c r="AS85" s="6"/>
      <c r="AT85" s="6"/>
      <c r="AU85" s="6"/>
      <c r="AV85" s="7"/>
      <c r="AW85" s="7"/>
      <c r="AX85" s="7"/>
      <c r="AY85" s="7"/>
      <c r="AZ85" s="5"/>
      <c r="BA85" s="5"/>
      <c r="BB85" s="6"/>
      <c r="BC85" s="6"/>
      <c r="BD85" s="6"/>
      <c r="BE85" s="6"/>
      <c r="BF85" s="5"/>
      <c r="BG85" s="5"/>
      <c r="BH85" s="6"/>
      <c r="BI85" s="6"/>
      <c r="BJ85" s="6"/>
      <c r="BK85" s="6"/>
      <c r="BL85" s="6"/>
      <c r="BM85" s="6"/>
      <c r="BN85" s="6"/>
      <c r="BO85" s="6"/>
      <c r="BP85" s="6"/>
      <c r="BQ85" s="6"/>
    </row>
    <row r="86" spans="1:69" ht="31.8" customHeight="1" x14ac:dyDescent="0.3">
      <c r="A86" s="135"/>
      <c r="B86" s="63">
        <v>82</v>
      </c>
      <c r="C86" s="57" t="s">
        <v>142</v>
      </c>
      <c r="D86" s="5" t="s">
        <v>4</v>
      </c>
      <c r="E86" s="5">
        <v>3</v>
      </c>
      <c r="F86" s="15" t="s">
        <v>141</v>
      </c>
      <c r="G86" s="10" t="s">
        <v>166</v>
      </c>
      <c r="H86" s="6"/>
      <c r="I86" s="6"/>
      <c r="J86" s="6"/>
      <c r="K86" s="6"/>
      <c r="L86" s="6"/>
      <c r="M86" s="6"/>
      <c r="N86" s="6"/>
      <c r="O86" s="6"/>
      <c r="P86" s="17">
        <v>348.34</v>
      </c>
      <c r="Q86" s="17">
        <f>P86*E86</f>
        <v>1045.02</v>
      </c>
      <c r="R86" s="6"/>
      <c r="S86" s="6"/>
      <c r="T86" s="6"/>
      <c r="U86" s="6"/>
      <c r="V86" s="6"/>
      <c r="W86" s="6"/>
      <c r="X86" s="5"/>
      <c r="Y86" s="5"/>
      <c r="Z86" s="5"/>
      <c r="AA86" s="5"/>
      <c r="AB86" s="5"/>
      <c r="AC86" s="5"/>
      <c r="AD86" s="20"/>
      <c r="AE86" s="20"/>
      <c r="AF86" s="5"/>
      <c r="AG86" s="5"/>
      <c r="AH86" s="5"/>
      <c r="AI86" s="5"/>
      <c r="AJ86" s="5"/>
      <c r="AK86" s="5"/>
      <c r="AL86" s="5"/>
      <c r="AM86" s="5"/>
      <c r="AN86" s="5"/>
      <c r="AO86" s="45"/>
      <c r="AP86" s="6"/>
      <c r="AQ86" s="50"/>
      <c r="AR86" s="6"/>
      <c r="AS86" s="6"/>
      <c r="AT86" s="6"/>
      <c r="AU86" s="6"/>
      <c r="AV86" s="7"/>
      <c r="AW86" s="7"/>
      <c r="AX86" s="7"/>
      <c r="AY86" s="7"/>
      <c r="AZ86" s="5"/>
      <c r="BA86" s="5"/>
      <c r="BB86" s="6"/>
      <c r="BC86" s="6"/>
      <c r="BD86" s="6"/>
      <c r="BE86" s="6"/>
      <c r="BF86" s="5"/>
      <c r="BG86" s="5"/>
      <c r="BH86" s="6"/>
      <c r="BI86" s="6"/>
      <c r="BJ86" s="6"/>
      <c r="BK86" s="6"/>
      <c r="BL86" s="6"/>
      <c r="BM86" s="6"/>
      <c r="BN86" s="6"/>
      <c r="BO86" s="6"/>
      <c r="BP86" s="6"/>
      <c r="BQ86" s="6"/>
    </row>
    <row r="87" spans="1:69" ht="29.4" thickBot="1" x14ac:dyDescent="0.35">
      <c r="A87" s="136"/>
      <c r="B87" s="63">
        <v>83</v>
      </c>
      <c r="C87" s="57" t="s">
        <v>667</v>
      </c>
      <c r="D87" s="5" t="s">
        <v>4</v>
      </c>
      <c r="E87" s="5">
        <v>1</v>
      </c>
      <c r="F87" s="15" t="s">
        <v>666</v>
      </c>
      <c r="G87" s="8" t="s">
        <v>668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17">
        <v>3585</v>
      </c>
      <c r="U87" s="17">
        <f>T87*E87</f>
        <v>3585</v>
      </c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6"/>
      <c r="AQ87" s="6"/>
      <c r="AR87" s="6"/>
      <c r="AS87" s="6"/>
      <c r="AT87" s="6"/>
      <c r="AU87" s="6"/>
      <c r="AV87" s="7"/>
      <c r="AW87" s="7"/>
      <c r="AX87" s="7"/>
      <c r="AY87" s="7"/>
      <c r="AZ87" s="5"/>
      <c r="BA87" s="5"/>
      <c r="BB87" s="6"/>
      <c r="BC87" s="6"/>
      <c r="BD87" s="6"/>
      <c r="BE87" s="6"/>
      <c r="BF87" s="5"/>
      <c r="BG87" s="5"/>
      <c r="BH87" s="6"/>
      <c r="BI87" s="6"/>
      <c r="BJ87" s="6"/>
      <c r="BK87" s="6"/>
      <c r="BL87" s="6"/>
      <c r="BM87" s="6"/>
      <c r="BN87" s="6"/>
      <c r="BO87" s="6"/>
      <c r="BP87" s="6"/>
      <c r="BQ87" s="6"/>
    </row>
    <row r="88" spans="1:69" ht="31.8" customHeight="1" x14ac:dyDescent="0.3">
      <c r="A88" s="134" t="s">
        <v>985</v>
      </c>
      <c r="B88" s="111">
        <v>84</v>
      </c>
      <c r="C88" s="57" t="s">
        <v>88</v>
      </c>
      <c r="D88" s="5" t="s">
        <v>4</v>
      </c>
      <c r="E88" s="5">
        <v>5</v>
      </c>
      <c r="F88" s="12" t="s">
        <v>89</v>
      </c>
      <c r="G88" s="10" t="s">
        <v>152</v>
      </c>
      <c r="H88" s="17">
        <v>145.65</v>
      </c>
      <c r="I88" s="17">
        <f>H88*E88</f>
        <v>728.25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5"/>
      <c r="Y88" s="5"/>
      <c r="Z88" s="5"/>
      <c r="AA88" s="5"/>
      <c r="AB88" s="5"/>
      <c r="AC88" s="5"/>
      <c r="AD88" s="20"/>
      <c r="AE88" s="20"/>
      <c r="AF88" s="5"/>
      <c r="AG88" s="5"/>
      <c r="AH88" s="5"/>
      <c r="AI88" s="5"/>
      <c r="AJ88" s="5"/>
      <c r="AK88" s="5"/>
      <c r="AL88" s="5"/>
      <c r="AM88" s="5"/>
      <c r="AN88" s="5"/>
      <c r="AO88" s="45"/>
      <c r="AP88" s="6"/>
      <c r="AQ88" s="50"/>
      <c r="AR88" s="6"/>
      <c r="AS88" s="6"/>
      <c r="AT88" s="6"/>
      <c r="AU88" s="6"/>
      <c r="AV88" s="7"/>
      <c r="AW88" s="7"/>
      <c r="AX88" s="7"/>
      <c r="AY88" s="7"/>
      <c r="AZ88" s="5"/>
      <c r="BA88" s="5"/>
      <c r="BB88" s="6"/>
      <c r="BC88" s="6"/>
      <c r="BD88" s="6"/>
      <c r="BE88" s="6"/>
      <c r="BF88" s="5"/>
      <c r="BG88" s="5"/>
      <c r="BH88" s="6"/>
      <c r="BI88" s="6"/>
      <c r="BJ88" s="6"/>
      <c r="BK88" s="6"/>
      <c r="BL88" s="6"/>
      <c r="BM88" s="6"/>
      <c r="BN88" s="6"/>
      <c r="BO88" s="6"/>
      <c r="BP88" s="6"/>
      <c r="BQ88" s="6"/>
    </row>
    <row r="89" spans="1:69" ht="31.8" customHeight="1" x14ac:dyDescent="0.3">
      <c r="A89" s="135"/>
      <c r="B89" s="111">
        <v>85</v>
      </c>
      <c r="C89" s="57" t="s">
        <v>90</v>
      </c>
      <c r="D89" s="5" t="s">
        <v>4</v>
      </c>
      <c r="E89" s="5">
        <v>2</v>
      </c>
      <c r="F89" s="12" t="s">
        <v>91</v>
      </c>
      <c r="G89" s="10" t="s">
        <v>153</v>
      </c>
      <c r="H89" s="17">
        <v>122.9</v>
      </c>
      <c r="I89" s="17">
        <f>H89*E89</f>
        <v>245.8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5"/>
      <c r="Y89" s="5"/>
      <c r="Z89" s="5"/>
      <c r="AA89" s="5"/>
      <c r="AB89" s="5"/>
      <c r="AC89" s="5"/>
      <c r="AD89" s="20"/>
      <c r="AE89" s="20"/>
      <c r="AF89" s="5"/>
      <c r="AG89" s="5"/>
      <c r="AH89" s="5"/>
      <c r="AI89" s="5"/>
      <c r="AJ89" s="5"/>
      <c r="AK89" s="5"/>
      <c r="AL89" s="5"/>
      <c r="AM89" s="5"/>
      <c r="AN89" s="5"/>
      <c r="AO89" s="45"/>
      <c r="AP89" s="6"/>
      <c r="AQ89" s="50"/>
      <c r="AR89" s="6"/>
      <c r="AS89" s="6"/>
      <c r="AT89" s="6"/>
      <c r="AU89" s="6"/>
      <c r="AV89" s="7"/>
      <c r="AW89" s="7"/>
      <c r="AX89" s="7"/>
      <c r="AY89" s="7"/>
      <c r="AZ89" s="5"/>
      <c r="BA89" s="5"/>
      <c r="BB89" s="6"/>
      <c r="BC89" s="6"/>
      <c r="BD89" s="6"/>
      <c r="BE89" s="6"/>
      <c r="BF89" s="5"/>
      <c r="BG89" s="5"/>
      <c r="BH89" s="6"/>
      <c r="BI89" s="6"/>
      <c r="BJ89" s="6"/>
      <c r="BK89" s="6"/>
      <c r="BL89" s="6"/>
      <c r="BM89" s="6"/>
      <c r="BN89" s="6"/>
      <c r="BO89" s="6"/>
      <c r="BP89" s="6"/>
      <c r="BQ89" s="6"/>
    </row>
    <row r="90" spans="1:69" ht="31.8" customHeight="1" x14ac:dyDescent="0.3">
      <c r="A90" s="135"/>
      <c r="B90" s="111">
        <v>86</v>
      </c>
      <c r="C90" s="57" t="s">
        <v>92</v>
      </c>
      <c r="D90" s="5" t="s">
        <v>4</v>
      </c>
      <c r="E90" s="5">
        <v>2</v>
      </c>
      <c r="F90" s="15" t="s">
        <v>93</v>
      </c>
      <c r="G90" s="10" t="s">
        <v>151</v>
      </c>
      <c r="H90" s="17">
        <v>460</v>
      </c>
      <c r="I90" s="17">
        <f>H90*E90</f>
        <v>920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5"/>
      <c r="Y90" s="5"/>
      <c r="Z90" s="5"/>
      <c r="AA90" s="5"/>
      <c r="AB90" s="5"/>
      <c r="AC90" s="5"/>
      <c r="AD90" s="20"/>
      <c r="AE90" s="20"/>
      <c r="AF90" s="5"/>
      <c r="AG90" s="5"/>
      <c r="AH90" s="5"/>
      <c r="AI90" s="5"/>
      <c r="AJ90" s="5"/>
      <c r="AK90" s="5"/>
      <c r="AL90" s="5"/>
      <c r="AM90" s="5"/>
      <c r="AN90" s="5"/>
      <c r="AO90" s="45"/>
      <c r="AP90" s="6"/>
      <c r="AQ90" s="50"/>
      <c r="AR90" s="6"/>
      <c r="AS90" s="6"/>
      <c r="AT90" s="6"/>
      <c r="AU90" s="6"/>
      <c r="AV90" s="7"/>
      <c r="AW90" s="7"/>
      <c r="AX90" s="7"/>
      <c r="AY90" s="7"/>
      <c r="AZ90" s="5"/>
      <c r="BA90" s="5"/>
      <c r="BB90" s="6"/>
      <c r="BC90" s="6"/>
      <c r="BD90" s="6"/>
      <c r="BE90" s="6"/>
      <c r="BF90" s="5"/>
      <c r="BG90" s="5"/>
      <c r="BH90" s="6"/>
      <c r="BI90" s="6"/>
      <c r="BJ90" s="6"/>
      <c r="BK90" s="6"/>
      <c r="BL90" s="6"/>
      <c r="BM90" s="6"/>
      <c r="BN90" s="6"/>
      <c r="BO90" s="6"/>
      <c r="BP90" s="6"/>
      <c r="BQ90" s="6"/>
    </row>
    <row r="91" spans="1:69" ht="31.8" customHeight="1" x14ac:dyDescent="0.3">
      <c r="A91" s="135"/>
      <c r="B91" s="111">
        <v>87</v>
      </c>
      <c r="C91" s="57" t="s">
        <v>94</v>
      </c>
      <c r="D91" s="5" t="s">
        <v>4</v>
      </c>
      <c r="E91" s="5">
        <v>1</v>
      </c>
      <c r="F91" s="15" t="s">
        <v>95</v>
      </c>
      <c r="G91" s="10" t="s">
        <v>151</v>
      </c>
      <c r="H91" s="17">
        <v>1747.87</v>
      </c>
      <c r="I91" s="17">
        <f>H91*E91</f>
        <v>1747.87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5"/>
      <c r="Y91" s="5"/>
      <c r="Z91" s="5"/>
      <c r="AA91" s="5"/>
      <c r="AB91" s="5"/>
      <c r="AC91" s="5"/>
      <c r="AD91" s="20"/>
      <c r="AE91" s="20"/>
      <c r="AF91" s="5"/>
      <c r="AG91" s="5"/>
      <c r="AH91" s="5"/>
      <c r="AI91" s="5"/>
      <c r="AJ91" s="5"/>
      <c r="AK91" s="5"/>
      <c r="AL91" s="5"/>
      <c r="AM91" s="5"/>
      <c r="AN91" s="5"/>
      <c r="AO91" s="45"/>
      <c r="AP91" s="6"/>
      <c r="AQ91" s="50"/>
      <c r="AR91" s="6"/>
      <c r="AS91" s="6"/>
      <c r="AT91" s="6"/>
      <c r="AU91" s="6"/>
      <c r="AV91" s="7"/>
      <c r="AW91" s="7"/>
      <c r="AX91" s="7"/>
      <c r="AY91" s="7"/>
      <c r="AZ91" s="5"/>
      <c r="BA91" s="5"/>
      <c r="BB91" s="6"/>
      <c r="BC91" s="6"/>
      <c r="BD91" s="6"/>
      <c r="BE91" s="6"/>
      <c r="BF91" s="5"/>
      <c r="BG91" s="5"/>
      <c r="BH91" s="6"/>
      <c r="BI91" s="6"/>
      <c r="BJ91" s="6"/>
      <c r="BK91" s="6"/>
      <c r="BL91" s="6"/>
      <c r="BM91" s="6"/>
      <c r="BN91" s="6"/>
      <c r="BO91" s="6"/>
      <c r="BP91" s="6"/>
      <c r="BQ91" s="6"/>
    </row>
    <row r="92" spans="1:69" ht="31.8" customHeight="1" x14ac:dyDescent="0.3">
      <c r="A92" s="135"/>
      <c r="B92" s="111">
        <v>88</v>
      </c>
      <c r="C92" s="57" t="s">
        <v>97</v>
      </c>
      <c r="D92" s="5" t="s">
        <v>4</v>
      </c>
      <c r="E92" s="5">
        <v>1</v>
      </c>
      <c r="F92" s="15" t="s">
        <v>96</v>
      </c>
      <c r="G92" s="23" t="s">
        <v>152</v>
      </c>
      <c r="H92" s="17">
        <v>612.29</v>
      </c>
      <c r="I92" s="17">
        <f>H92*E92</f>
        <v>612.29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5"/>
      <c r="Y92" s="5"/>
      <c r="Z92" s="5"/>
      <c r="AA92" s="5"/>
      <c r="AB92" s="5"/>
      <c r="AC92" s="5"/>
      <c r="AD92" s="20"/>
      <c r="AE92" s="20"/>
      <c r="AF92" s="5"/>
      <c r="AG92" s="5"/>
      <c r="AH92" s="5"/>
      <c r="AI92" s="5"/>
      <c r="AJ92" s="5"/>
      <c r="AK92" s="5"/>
      <c r="AL92" s="5"/>
      <c r="AM92" s="5"/>
      <c r="AN92" s="5"/>
      <c r="AO92" s="45"/>
      <c r="AP92" s="6"/>
      <c r="AQ92" s="50"/>
      <c r="AR92" s="6"/>
      <c r="AS92" s="6"/>
      <c r="AT92" s="6"/>
      <c r="AU92" s="6"/>
      <c r="AV92" s="7"/>
      <c r="AW92" s="7"/>
      <c r="AX92" s="7"/>
      <c r="AY92" s="7"/>
      <c r="AZ92" s="5"/>
      <c r="BA92" s="5"/>
      <c r="BB92" s="6"/>
      <c r="BC92" s="6"/>
      <c r="BD92" s="6"/>
      <c r="BE92" s="6"/>
      <c r="BF92" s="5"/>
      <c r="BG92" s="5"/>
      <c r="BH92" s="6"/>
      <c r="BI92" s="6"/>
      <c r="BJ92" s="6"/>
      <c r="BK92" s="6"/>
      <c r="BL92" s="6"/>
      <c r="BM92" s="6"/>
      <c r="BN92" s="6"/>
      <c r="BO92" s="6"/>
      <c r="BP92" s="6"/>
      <c r="BQ92" s="6"/>
    </row>
    <row r="93" spans="1:69" ht="31.8" customHeight="1" x14ac:dyDescent="0.3">
      <c r="A93" s="135"/>
      <c r="B93" s="63">
        <v>89</v>
      </c>
      <c r="C93" s="57" t="s">
        <v>98</v>
      </c>
      <c r="D93" s="5" t="s">
        <v>4</v>
      </c>
      <c r="E93" s="5">
        <v>10</v>
      </c>
      <c r="F93" s="15" t="s">
        <v>99</v>
      </c>
      <c r="G93" s="10" t="s">
        <v>152</v>
      </c>
      <c r="H93" s="6"/>
      <c r="I93" s="6"/>
      <c r="J93" s="6"/>
      <c r="K93" s="6"/>
      <c r="L93" s="6"/>
      <c r="M93" s="6"/>
      <c r="N93" s="17">
        <v>13.8</v>
      </c>
      <c r="O93" s="17">
        <f>N93*E93</f>
        <v>138</v>
      </c>
      <c r="P93" s="6"/>
      <c r="Q93" s="6"/>
      <c r="R93" s="6"/>
      <c r="S93" s="6"/>
      <c r="T93" s="6"/>
      <c r="U93" s="6"/>
      <c r="V93" s="6"/>
      <c r="W93" s="6"/>
      <c r="X93" s="5"/>
      <c r="Y93" s="5"/>
      <c r="Z93" s="5"/>
      <c r="AA93" s="5"/>
      <c r="AB93" s="5"/>
      <c r="AC93" s="5"/>
      <c r="AD93" s="20"/>
      <c r="AE93" s="20"/>
      <c r="AF93" s="5"/>
      <c r="AG93" s="5"/>
      <c r="AH93" s="5"/>
      <c r="AI93" s="5"/>
      <c r="AJ93" s="5"/>
      <c r="AK93" s="5"/>
      <c r="AL93" s="5"/>
      <c r="AM93" s="5"/>
      <c r="AN93" s="5"/>
      <c r="AO93" s="45"/>
      <c r="AP93" s="6"/>
      <c r="AQ93" s="50"/>
      <c r="AR93" s="6"/>
      <c r="AS93" s="6"/>
      <c r="AT93" s="6"/>
      <c r="AU93" s="6"/>
      <c r="AV93" s="7"/>
      <c r="AW93" s="7"/>
      <c r="AX93" s="7"/>
      <c r="AY93" s="7"/>
      <c r="AZ93" s="5"/>
      <c r="BA93" s="5"/>
      <c r="BB93" s="6"/>
      <c r="BC93" s="6"/>
      <c r="BD93" s="6"/>
      <c r="BE93" s="6"/>
      <c r="BF93" s="5"/>
      <c r="BG93" s="5"/>
      <c r="BH93" s="6"/>
      <c r="BI93" s="6"/>
      <c r="BJ93" s="6"/>
      <c r="BK93" s="6"/>
      <c r="BL93" s="6"/>
      <c r="BM93" s="6"/>
      <c r="BN93" s="6"/>
      <c r="BO93" s="6"/>
      <c r="BP93" s="6"/>
      <c r="BQ93" s="6"/>
    </row>
    <row r="94" spans="1:69" ht="31.8" customHeight="1" thickBot="1" x14ac:dyDescent="0.35">
      <c r="A94" s="136"/>
      <c r="B94" s="63">
        <v>90</v>
      </c>
      <c r="C94" s="57" t="s">
        <v>100</v>
      </c>
      <c r="D94" s="5" t="s">
        <v>4</v>
      </c>
      <c r="E94" s="5">
        <v>10</v>
      </c>
      <c r="F94" s="15" t="s">
        <v>101</v>
      </c>
      <c r="G94" s="10" t="s">
        <v>152</v>
      </c>
      <c r="H94" s="6"/>
      <c r="I94" s="6"/>
      <c r="J94" s="6"/>
      <c r="K94" s="6"/>
      <c r="L94" s="6"/>
      <c r="M94" s="6"/>
      <c r="N94" s="17">
        <v>8.2799999999999994</v>
      </c>
      <c r="O94" s="17">
        <f>N94*E94</f>
        <v>82.8</v>
      </c>
      <c r="P94" s="6"/>
      <c r="Q94" s="6"/>
      <c r="R94" s="6"/>
      <c r="S94" s="6"/>
      <c r="T94" s="6"/>
      <c r="U94" s="6"/>
      <c r="V94" s="6"/>
      <c r="W94" s="6"/>
      <c r="X94" s="5"/>
      <c r="Y94" s="5"/>
      <c r="Z94" s="5"/>
      <c r="AA94" s="5"/>
      <c r="AB94" s="5"/>
      <c r="AC94" s="5"/>
      <c r="AD94" s="20"/>
      <c r="AE94" s="20"/>
      <c r="AF94" s="5"/>
      <c r="AG94" s="5"/>
      <c r="AH94" s="5"/>
      <c r="AI94" s="5"/>
      <c r="AJ94" s="5"/>
      <c r="AK94" s="5"/>
      <c r="AL94" s="5"/>
      <c r="AM94" s="5"/>
      <c r="AN94" s="5"/>
      <c r="AO94" s="45"/>
      <c r="AP94" s="6"/>
      <c r="AQ94" s="50"/>
      <c r="AR94" s="6"/>
      <c r="AS94" s="6"/>
      <c r="AT94" s="6"/>
      <c r="AU94" s="6"/>
      <c r="AV94" s="7"/>
      <c r="AW94" s="7"/>
      <c r="AX94" s="7"/>
      <c r="AY94" s="7"/>
      <c r="AZ94" s="5"/>
      <c r="BA94" s="5"/>
      <c r="BB94" s="6"/>
      <c r="BC94" s="6"/>
      <c r="BD94" s="6"/>
      <c r="BE94" s="6"/>
      <c r="BF94" s="5"/>
      <c r="BG94" s="5"/>
      <c r="BH94" s="6"/>
      <c r="BI94" s="6"/>
      <c r="BJ94" s="6"/>
      <c r="BK94" s="6"/>
      <c r="BL94" s="6"/>
      <c r="BM94" s="6"/>
      <c r="BN94" s="6"/>
      <c r="BO94" s="6"/>
      <c r="BP94" s="6"/>
      <c r="BQ94" s="6"/>
    </row>
    <row r="95" spans="1:69" ht="31.8" customHeight="1" x14ac:dyDescent="0.3">
      <c r="A95" s="128" t="s">
        <v>984</v>
      </c>
      <c r="B95" s="63">
        <v>91</v>
      </c>
      <c r="C95" s="55" t="s">
        <v>102</v>
      </c>
      <c r="D95" s="30" t="s">
        <v>4</v>
      </c>
      <c r="E95" s="30">
        <v>6</v>
      </c>
      <c r="F95" s="31" t="s">
        <v>103</v>
      </c>
      <c r="G95" s="32" t="s">
        <v>154</v>
      </c>
      <c r="H95" s="33"/>
      <c r="I95" s="33"/>
      <c r="J95" s="33"/>
      <c r="K95" s="33"/>
      <c r="L95" s="33"/>
      <c r="M95" s="33"/>
      <c r="N95" s="33"/>
      <c r="O95" s="33"/>
      <c r="P95" s="34">
        <v>53.92</v>
      </c>
      <c r="Q95" s="34">
        <f>P95*E95</f>
        <v>323.52</v>
      </c>
      <c r="R95" s="33"/>
      <c r="S95" s="33"/>
      <c r="T95" s="33"/>
      <c r="U95" s="33"/>
      <c r="V95" s="33"/>
      <c r="W95" s="33"/>
      <c r="X95" s="30"/>
      <c r="Y95" s="30"/>
      <c r="Z95" s="30"/>
      <c r="AA95" s="30"/>
      <c r="AB95" s="30"/>
      <c r="AC95" s="30"/>
      <c r="AD95" s="35"/>
      <c r="AE95" s="35"/>
      <c r="AF95" s="30"/>
      <c r="AG95" s="30"/>
      <c r="AH95" s="30"/>
      <c r="AI95" s="30"/>
      <c r="AJ95" s="30"/>
      <c r="AK95" s="30"/>
      <c r="AL95" s="30"/>
      <c r="AM95" s="30"/>
      <c r="AN95" s="30"/>
      <c r="AO95" s="47"/>
      <c r="AP95" s="6"/>
      <c r="AQ95" s="50"/>
      <c r="AR95" s="6"/>
      <c r="AS95" s="6"/>
      <c r="AT95" s="6"/>
      <c r="AU95" s="6"/>
      <c r="AV95" s="7"/>
      <c r="AW95" s="7"/>
      <c r="AX95" s="7"/>
      <c r="AY95" s="7"/>
      <c r="AZ95" s="5"/>
      <c r="BA95" s="5"/>
      <c r="BB95" s="6"/>
      <c r="BC95" s="6"/>
      <c r="BD95" s="6"/>
      <c r="BE95" s="6"/>
      <c r="BF95" s="5"/>
      <c r="BG95" s="5"/>
      <c r="BH95" s="6"/>
      <c r="BI95" s="6"/>
      <c r="BJ95" s="6"/>
      <c r="BK95" s="6"/>
      <c r="BL95" s="6"/>
      <c r="BM95" s="6"/>
      <c r="BN95" s="6"/>
      <c r="BO95" s="6"/>
      <c r="BP95" s="6"/>
      <c r="BQ95" s="6"/>
    </row>
    <row r="96" spans="1:69" ht="31.8" customHeight="1" x14ac:dyDescent="0.3">
      <c r="A96" s="129"/>
      <c r="B96" s="63">
        <v>92</v>
      </c>
      <c r="C96" s="57" t="s">
        <v>104</v>
      </c>
      <c r="D96" s="5" t="s">
        <v>4</v>
      </c>
      <c r="E96" s="5">
        <v>2</v>
      </c>
      <c r="F96" s="15" t="s">
        <v>105</v>
      </c>
      <c r="G96" s="10" t="s">
        <v>154</v>
      </c>
      <c r="H96" s="6"/>
      <c r="I96" s="6"/>
      <c r="J96" s="6"/>
      <c r="K96" s="6"/>
      <c r="L96" s="6"/>
      <c r="M96" s="6"/>
      <c r="N96" s="17">
        <v>12.7</v>
      </c>
      <c r="O96" s="17">
        <f t="shared" ref="O96:O103" si="5">N96*E96</f>
        <v>25.4</v>
      </c>
      <c r="P96" s="6"/>
      <c r="Q96" s="6"/>
      <c r="R96" s="6"/>
      <c r="S96" s="6"/>
      <c r="T96" s="6"/>
      <c r="U96" s="6"/>
      <c r="V96" s="6"/>
      <c r="W96" s="6"/>
      <c r="X96" s="5"/>
      <c r="Y96" s="5"/>
      <c r="Z96" s="5"/>
      <c r="AA96" s="5"/>
      <c r="AB96" s="5"/>
      <c r="AC96" s="5"/>
      <c r="AD96" s="20"/>
      <c r="AE96" s="20"/>
      <c r="AF96" s="5"/>
      <c r="AG96" s="5"/>
      <c r="AH96" s="5"/>
      <c r="AI96" s="5"/>
      <c r="AJ96" s="5"/>
      <c r="AK96" s="5"/>
      <c r="AL96" s="5"/>
      <c r="AM96" s="5"/>
      <c r="AN96" s="5"/>
      <c r="AO96" s="45"/>
      <c r="AP96" s="6"/>
      <c r="AQ96" s="50"/>
      <c r="AR96" s="6"/>
      <c r="AS96" s="6"/>
      <c r="AT96" s="6"/>
      <c r="AU96" s="6"/>
      <c r="AV96" s="7"/>
      <c r="AW96" s="7"/>
      <c r="AX96" s="7"/>
      <c r="AY96" s="7"/>
      <c r="AZ96" s="5"/>
      <c r="BA96" s="5"/>
      <c r="BB96" s="6"/>
      <c r="BC96" s="6"/>
      <c r="BD96" s="6"/>
      <c r="BE96" s="6"/>
      <c r="BF96" s="5"/>
      <c r="BG96" s="5"/>
      <c r="BH96" s="6"/>
      <c r="BI96" s="6"/>
      <c r="BJ96" s="6"/>
      <c r="BK96" s="6"/>
      <c r="BL96" s="6"/>
      <c r="BM96" s="6"/>
      <c r="BN96" s="6"/>
      <c r="BO96" s="6"/>
      <c r="BP96" s="6"/>
      <c r="BQ96" s="6"/>
    </row>
    <row r="97" spans="1:69" ht="31.8" customHeight="1" x14ac:dyDescent="0.3">
      <c r="A97" s="129"/>
      <c r="B97" s="63">
        <v>93</v>
      </c>
      <c r="C97" s="57" t="s">
        <v>107</v>
      </c>
      <c r="D97" s="5" t="s">
        <v>4</v>
      </c>
      <c r="E97" s="5">
        <v>2</v>
      </c>
      <c r="F97" s="15" t="s">
        <v>106</v>
      </c>
      <c r="G97" s="10" t="s">
        <v>154</v>
      </c>
      <c r="H97" s="6"/>
      <c r="I97" s="6"/>
      <c r="J97" s="6"/>
      <c r="K97" s="6"/>
      <c r="L97" s="6"/>
      <c r="M97" s="6"/>
      <c r="N97" s="17">
        <v>12.7</v>
      </c>
      <c r="O97" s="17">
        <f t="shared" si="5"/>
        <v>25.4</v>
      </c>
      <c r="P97" s="6"/>
      <c r="Q97" s="6"/>
      <c r="R97" s="6"/>
      <c r="S97" s="6"/>
      <c r="T97" s="6"/>
      <c r="U97" s="6"/>
      <c r="V97" s="6"/>
      <c r="W97" s="6"/>
      <c r="X97" s="5"/>
      <c r="Y97" s="5"/>
      <c r="Z97" s="5"/>
      <c r="AA97" s="5"/>
      <c r="AB97" s="5"/>
      <c r="AC97" s="5"/>
      <c r="AD97" s="20"/>
      <c r="AE97" s="20"/>
      <c r="AF97" s="5"/>
      <c r="AG97" s="5"/>
      <c r="AH97" s="5"/>
      <c r="AI97" s="5"/>
      <c r="AJ97" s="5"/>
      <c r="AK97" s="5"/>
      <c r="AL97" s="5"/>
      <c r="AM97" s="5"/>
      <c r="AN97" s="5"/>
      <c r="AO97" s="45"/>
      <c r="AP97" s="6"/>
      <c r="AQ97" s="50"/>
      <c r="AR97" s="6"/>
      <c r="AS97" s="6"/>
      <c r="AT97" s="6"/>
      <c r="AU97" s="6"/>
      <c r="AV97" s="7"/>
      <c r="AW97" s="7"/>
      <c r="AX97" s="7"/>
      <c r="AY97" s="7"/>
      <c r="AZ97" s="5"/>
      <c r="BA97" s="5"/>
      <c r="BB97" s="6"/>
      <c r="BC97" s="6"/>
      <c r="BD97" s="6"/>
      <c r="BE97" s="6"/>
      <c r="BF97" s="5"/>
      <c r="BG97" s="5"/>
      <c r="BH97" s="6"/>
      <c r="BI97" s="6"/>
      <c r="BJ97" s="6"/>
      <c r="BK97" s="6"/>
      <c r="BL97" s="6"/>
      <c r="BM97" s="6"/>
      <c r="BN97" s="6"/>
      <c r="BO97" s="6"/>
      <c r="BP97" s="6"/>
      <c r="BQ97" s="6"/>
    </row>
    <row r="98" spans="1:69" ht="31.8" customHeight="1" x14ac:dyDescent="0.3">
      <c r="A98" s="129"/>
      <c r="B98" s="63">
        <v>94</v>
      </c>
      <c r="C98" s="57" t="s">
        <v>109</v>
      </c>
      <c r="D98" s="5" t="s">
        <v>4</v>
      </c>
      <c r="E98" s="5">
        <v>2</v>
      </c>
      <c r="F98" s="15" t="s">
        <v>108</v>
      </c>
      <c r="G98" s="10" t="s">
        <v>154</v>
      </c>
      <c r="H98" s="6"/>
      <c r="I98" s="6"/>
      <c r="J98" s="6"/>
      <c r="K98" s="6"/>
      <c r="L98" s="6"/>
      <c r="M98" s="6"/>
      <c r="N98" s="17">
        <v>12.7</v>
      </c>
      <c r="O98" s="17">
        <f t="shared" si="5"/>
        <v>25.4</v>
      </c>
      <c r="P98" s="6"/>
      <c r="Q98" s="6"/>
      <c r="R98" s="6"/>
      <c r="S98" s="6"/>
      <c r="T98" s="6"/>
      <c r="U98" s="6"/>
      <c r="V98" s="6"/>
      <c r="W98" s="6"/>
      <c r="X98" s="5"/>
      <c r="Y98" s="5"/>
      <c r="Z98" s="5"/>
      <c r="AA98" s="5"/>
      <c r="AB98" s="5"/>
      <c r="AC98" s="5"/>
      <c r="AD98" s="20"/>
      <c r="AE98" s="20"/>
      <c r="AF98" s="5"/>
      <c r="AG98" s="5"/>
      <c r="AH98" s="5"/>
      <c r="AI98" s="5"/>
      <c r="AJ98" s="5"/>
      <c r="AK98" s="5"/>
      <c r="AL98" s="5"/>
      <c r="AM98" s="5"/>
      <c r="AN98" s="5"/>
      <c r="AO98" s="45"/>
      <c r="AP98" s="6"/>
      <c r="AQ98" s="50"/>
      <c r="AR98" s="6"/>
      <c r="AS98" s="6"/>
      <c r="AT98" s="6"/>
      <c r="AU98" s="6"/>
      <c r="AV98" s="7"/>
      <c r="AW98" s="7"/>
      <c r="AX98" s="7"/>
      <c r="AY98" s="7"/>
      <c r="AZ98" s="5"/>
      <c r="BA98" s="5"/>
      <c r="BB98" s="6"/>
      <c r="BC98" s="6"/>
      <c r="BD98" s="6"/>
      <c r="BE98" s="6"/>
      <c r="BF98" s="5"/>
      <c r="BG98" s="5"/>
      <c r="BH98" s="6"/>
      <c r="BI98" s="6"/>
      <c r="BJ98" s="6"/>
      <c r="BK98" s="6"/>
      <c r="BL98" s="6"/>
      <c r="BM98" s="6"/>
      <c r="BN98" s="6"/>
      <c r="BO98" s="6"/>
      <c r="BP98" s="6"/>
      <c r="BQ98" s="6"/>
    </row>
    <row r="99" spans="1:69" ht="31.8" customHeight="1" x14ac:dyDescent="0.3">
      <c r="A99" s="129"/>
      <c r="B99" s="63">
        <v>95</v>
      </c>
      <c r="C99" s="57" t="s">
        <v>111</v>
      </c>
      <c r="D99" s="5" t="s">
        <v>4</v>
      </c>
      <c r="E99" s="5">
        <v>2</v>
      </c>
      <c r="F99" s="15" t="s">
        <v>110</v>
      </c>
      <c r="G99" s="10" t="s">
        <v>154</v>
      </c>
      <c r="H99" s="6"/>
      <c r="I99" s="6"/>
      <c r="J99" s="6"/>
      <c r="K99" s="6"/>
      <c r="L99" s="6"/>
      <c r="M99" s="6"/>
      <c r="N99" s="17">
        <v>12.7</v>
      </c>
      <c r="O99" s="17">
        <f t="shared" si="5"/>
        <v>25.4</v>
      </c>
      <c r="P99" s="6"/>
      <c r="Q99" s="6"/>
      <c r="R99" s="6"/>
      <c r="S99" s="6"/>
      <c r="T99" s="6"/>
      <c r="U99" s="6"/>
      <c r="V99" s="6"/>
      <c r="W99" s="6"/>
      <c r="X99" s="5"/>
      <c r="Y99" s="5"/>
      <c r="Z99" s="5"/>
      <c r="AA99" s="5"/>
      <c r="AB99" s="5"/>
      <c r="AC99" s="5"/>
      <c r="AD99" s="20"/>
      <c r="AE99" s="20"/>
      <c r="AF99" s="5"/>
      <c r="AG99" s="5"/>
      <c r="AH99" s="5"/>
      <c r="AI99" s="5"/>
      <c r="AJ99" s="5"/>
      <c r="AK99" s="5"/>
      <c r="AL99" s="5"/>
      <c r="AM99" s="5"/>
      <c r="AN99" s="5"/>
      <c r="AO99" s="45"/>
      <c r="AP99" s="6"/>
      <c r="AQ99" s="50"/>
      <c r="AR99" s="6"/>
      <c r="AS99" s="6"/>
      <c r="AT99" s="6"/>
      <c r="AU99" s="6"/>
      <c r="AV99" s="7"/>
      <c r="AW99" s="7"/>
      <c r="AX99" s="7"/>
      <c r="AY99" s="7"/>
      <c r="AZ99" s="5"/>
      <c r="BA99" s="5"/>
      <c r="BB99" s="6"/>
      <c r="BC99" s="6"/>
      <c r="BD99" s="6"/>
      <c r="BE99" s="6"/>
      <c r="BF99" s="5"/>
      <c r="BG99" s="5"/>
      <c r="BH99" s="6"/>
      <c r="BI99" s="6"/>
      <c r="BJ99" s="6"/>
      <c r="BK99" s="6"/>
      <c r="BL99" s="6"/>
      <c r="BM99" s="6"/>
      <c r="BN99" s="6"/>
      <c r="BO99" s="6"/>
      <c r="BP99" s="6"/>
      <c r="BQ99" s="6"/>
    </row>
    <row r="100" spans="1:69" ht="31.8" customHeight="1" x14ac:dyDescent="0.3">
      <c r="A100" s="129"/>
      <c r="B100" s="63">
        <v>96</v>
      </c>
      <c r="C100" s="57" t="s">
        <v>113</v>
      </c>
      <c r="D100" s="5" t="s">
        <v>4</v>
      </c>
      <c r="E100" s="5">
        <v>2</v>
      </c>
      <c r="F100" s="15" t="s">
        <v>112</v>
      </c>
      <c r="G100" s="10" t="s">
        <v>154</v>
      </c>
      <c r="H100" s="6"/>
      <c r="I100" s="6"/>
      <c r="J100" s="6"/>
      <c r="K100" s="6"/>
      <c r="L100" s="6"/>
      <c r="M100" s="6"/>
      <c r="N100" s="17">
        <v>12.7</v>
      </c>
      <c r="O100" s="17">
        <f t="shared" si="5"/>
        <v>25.4</v>
      </c>
      <c r="P100" s="6"/>
      <c r="Q100" s="6"/>
      <c r="R100" s="6"/>
      <c r="S100" s="6"/>
      <c r="T100" s="6"/>
      <c r="U100" s="6"/>
      <c r="V100" s="6"/>
      <c r="W100" s="6"/>
      <c r="X100" s="5"/>
      <c r="Y100" s="5"/>
      <c r="Z100" s="5"/>
      <c r="AA100" s="5"/>
      <c r="AB100" s="5"/>
      <c r="AC100" s="5"/>
      <c r="AD100" s="20"/>
      <c r="AE100" s="20"/>
      <c r="AF100" s="5"/>
      <c r="AG100" s="5"/>
      <c r="AH100" s="5"/>
      <c r="AI100" s="5"/>
      <c r="AJ100" s="5"/>
      <c r="AK100" s="5"/>
      <c r="AL100" s="5"/>
      <c r="AM100" s="5"/>
      <c r="AN100" s="5"/>
      <c r="AO100" s="45"/>
      <c r="AP100" s="6"/>
      <c r="AQ100" s="50"/>
      <c r="AR100" s="6"/>
      <c r="AS100" s="6"/>
      <c r="AT100" s="6"/>
      <c r="AU100" s="6"/>
      <c r="AV100" s="7"/>
      <c r="AW100" s="7"/>
      <c r="AX100" s="7"/>
      <c r="AY100" s="7"/>
      <c r="AZ100" s="5"/>
      <c r="BA100" s="5"/>
      <c r="BB100" s="6"/>
      <c r="BC100" s="6"/>
      <c r="BD100" s="6"/>
      <c r="BE100" s="6"/>
      <c r="BF100" s="5"/>
      <c r="BG100" s="5"/>
      <c r="BH100" s="6"/>
      <c r="BI100" s="6"/>
      <c r="BJ100" s="6"/>
      <c r="BK100" s="6"/>
      <c r="BL100" s="6"/>
      <c r="BM100" s="6"/>
      <c r="BN100" s="6"/>
      <c r="BO100" s="6"/>
      <c r="BP100" s="6"/>
      <c r="BQ100" s="6"/>
    </row>
    <row r="101" spans="1:69" ht="31.8" customHeight="1" x14ac:dyDescent="0.3">
      <c r="A101" s="129"/>
      <c r="B101" s="63">
        <v>97</v>
      </c>
      <c r="C101" s="57" t="s">
        <v>117</v>
      </c>
      <c r="D101" s="5" t="s">
        <v>4</v>
      </c>
      <c r="E101" s="5">
        <v>10</v>
      </c>
      <c r="F101" s="15" t="s">
        <v>116</v>
      </c>
      <c r="G101" s="10" t="s">
        <v>154</v>
      </c>
      <c r="H101" s="6"/>
      <c r="I101" s="6"/>
      <c r="J101" s="6"/>
      <c r="K101" s="6"/>
      <c r="L101" s="6"/>
      <c r="M101" s="6"/>
      <c r="N101" s="17">
        <v>3.31</v>
      </c>
      <c r="O101" s="17">
        <f t="shared" si="5"/>
        <v>33.1</v>
      </c>
      <c r="P101" s="6"/>
      <c r="Q101" s="6"/>
      <c r="R101" s="6"/>
      <c r="S101" s="6"/>
      <c r="T101" s="6"/>
      <c r="U101" s="6"/>
      <c r="V101" s="6"/>
      <c r="W101" s="6"/>
      <c r="X101" s="5"/>
      <c r="Y101" s="5"/>
      <c r="Z101" s="5"/>
      <c r="AA101" s="5"/>
      <c r="AB101" s="5"/>
      <c r="AC101" s="5"/>
      <c r="AD101" s="20"/>
      <c r="AE101" s="20"/>
      <c r="AF101" s="5"/>
      <c r="AG101" s="5"/>
      <c r="AH101" s="5"/>
      <c r="AI101" s="5"/>
      <c r="AJ101" s="5"/>
      <c r="AK101" s="5"/>
      <c r="AL101" s="5"/>
      <c r="AM101" s="5"/>
      <c r="AN101" s="5"/>
      <c r="AO101" s="45"/>
      <c r="AP101" s="6"/>
      <c r="AQ101" s="50"/>
      <c r="AR101" s="6"/>
      <c r="AS101" s="6"/>
      <c r="AT101" s="6"/>
      <c r="AU101" s="6"/>
      <c r="AV101" s="7"/>
      <c r="AW101" s="7"/>
      <c r="AX101" s="7"/>
      <c r="AY101" s="7"/>
      <c r="AZ101" s="5"/>
      <c r="BA101" s="5"/>
      <c r="BB101" s="6"/>
      <c r="BC101" s="6"/>
      <c r="BD101" s="6"/>
      <c r="BE101" s="6"/>
      <c r="BF101" s="5"/>
      <c r="BG101" s="5"/>
      <c r="BH101" s="6"/>
      <c r="BI101" s="6"/>
      <c r="BJ101" s="6"/>
      <c r="BK101" s="6"/>
      <c r="BL101" s="6"/>
      <c r="BM101" s="6"/>
      <c r="BN101" s="6"/>
      <c r="BO101" s="6"/>
      <c r="BP101" s="6"/>
      <c r="BQ101" s="6"/>
    </row>
    <row r="102" spans="1:69" ht="31.8" customHeight="1" x14ac:dyDescent="0.3">
      <c r="A102" s="129"/>
      <c r="B102" s="63">
        <v>98</v>
      </c>
      <c r="C102" s="57" t="s">
        <v>114</v>
      </c>
      <c r="D102" s="5" t="s">
        <v>4</v>
      </c>
      <c r="E102" s="5">
        <v>4</v>
      </c>
      <c r="F102" s="15" t="s">
        <v>115</v>
      </c>
      <c r="G102" s="10" t="s">
        <v>154</v>
      </c>
      <c r="H102" s="6"/>
      <c r="I102" s="6"/>
      <c r="J102" s="6"/>
      <c r="K102" s="6"/>
      <c r="L102" s="6"/>
      <c r="M102" s="6"/>
      <c r="N102" s="17">
        <v>13.8</v>
      </c>
      <c r="O102" s="17">
        <f t="shared" si="5"/>
        <v>55.2</v>
      </c>
      <c r="P102" s="6"/>
      <c r="Q102" s="6"/>
      <c r="R102" s="6"/>
      <c r="S102" s="6"/>
      <c r="T102" s="6"/>
      <c r="U102" s="6"/>
      <c r="V102" s="6"/>
      <c r="W102" s="6"/>
      <c r="X102" s="5"/>
      <c r="Y102" s="5"/>
      <c r="Z102" s="5"/>
      <c r="AA102" s="5"/>
      <c r="AB102" s="5"/>
      <c r="AC102" s="5"/>
      <c r="AD102" s="20"/>
      <c r="AE102" s="20"/>
      <c r="AF102" s="5"/>
      <c r="AG102" s="5"/>
      <c r="AH102" s="5"/>
      <c r="AI102" s="5"/>
      <c r="AJ102" s="5"/>
      <c r="AK102" s="5"/>
      <c r="AL102" s="5"/>
      <c r="AM102" s="5"/>
      <c r="AN102" s="5"/>
      <c r="AO102" s="45"/>
      <c r="AP102" s="6"/>
      <c r="AQ102" s="50"/>
      <c r="AR102" s="6"/>
      <c r="AS102" s="6"/>
      <c r="AT102" s="6"/>
      <c r="AU102" s="6"/>
      <c r="AV102" s="7"/>
      <c r="AW102" s="7"/>
      <c r="AX102" s="7"/>
      <c r="AY102" s="7"/>
      <c r="AZ102" s="5"/>
      <c r="BA102" s="5"/>
      <c r="BB102" s="6"/>
      <c r="BC102" s="6"/>
      <c r="BD102" s="6"/>
      <c r="BE102" s="6"/>
      <c r="BF102" s="5"/>
      <c r="BG102" s="5"/>
      <c r="BH102" s="6"/>
      <c r="BI102" s="6"/>
      <c r="BJ102" s="6"/>
      <c r="BK102" s="6"/>
      <c r="BL102" s="6"/>
      <c r="BM102" s="6"/>
      <c r="BN102" s="6"/>
      <c r="BO102" s="6"/>
      <c r="BP102" s="6"/>
      <c r="BQ102" s="6"/>
    </row>
    <row r="103" spans="1:69" ht="31.8" customHeight="1" x14ac:dyDescent="0.3">
      <c r="A103" s="129"/>
      <c r="B103" s="63">
        <v>99</v>
      </c>
      <c r="C103" s="57" t="s">
        <v>118</v>
      </c>
      <c r="D103" s="5" t="s">
        <v>4</v>
      </c>
      <c r="E103" s="5">
        <v>4</v>
      </c>
      <c r="F103" s="15" t="s">
        <v>119</v>
      </c>
      <c r="G103" s="10" t="s">
        <v>154</v>
      </c>
      <c r="H103" s="6"/>
      <c r="I103" s="6"/>
      <c r="J103" s="6"/>
      <c r="K103" s="6"/>
      <c r="L103" s="6"/>
      <c r="M103" s="6"/>
      <c r="N103" s="17">
        <v>12.7</v>
      </c>
      <c r="O103" s="17">
        <f t="shared" si="5"/>
        <v>50.8</v>
      </c>
      <c r="P103" s="6"/>
      <c r="Q103" s="6"/>
      <c r="R103" s="6"/>
      <c r="S103" s="6"/>
      <c r="T103" s="6"/>
      <c r="U103" s="6"/>
      <c r="V103" s="6"/>
      <c r="W103" s="6"/>
      <c r="X103" s="5"/>
      <c r="Y103" s="5"/>
      <c r="Z103" s="5"/>
      <c r="AA103" s="5"/>
      <c r="AB103" s="5"/>
      <c r="AC103" s="5"/>
      <c r="AD103" s="20"/>
      <c r="AE103" s="20"/>
      <c r="AF103" s="5"/>
      <c r="AG103" s="5"/>
      <c r="AH103" s="5"/>
      <c r="AI103" s="5"/>
      <c r="AJ103" s="5"/>
      <c r="AK103" s="5"/>
      <c r="AL103" s="5"/>
      <c r="AM103" s="5"/>
      <c r="AN103" s="5"/>
      <c r="AO103" s="45"/>
      <c r="AP103" s="6"/>
      <c r="AQ103" s="50"/>
      <c r="AR103" s="6"/>
      <c r="AS103" s="6"/>
      <c r="AT103" s="6"/>
      <c r="AU103" s="6"/>
      <c r="AV103" s="7"/>
      <c r="AW103" s="7"/>
      <c r="AX103" s="7"/>
      <c r="AY103" s="7"/>
      <c r="AZ103" s="5"/>
      <c r="BA103" s="5"/>
      <c r="BB103" s="6"/>
      <c r="BC103" s="6"/>
      <c r="BD103" s="6"/>
      <c r="BE103" s="6"/>
      <c r="BF103" s="5"/>
      <c r="BG103" s="5"/>
      <c r="BH103" s="6"/>
      <c r="BI103" s="6"/>
      <c r="BJ103" s="6"/>
      <c r="BK103" s="6"/>
      <c r="BL103" s="6"/>
      <c r="BM103" s="6"/>
      <c r="BN103" s="6"/>
      <c r="BO103" s="6"/>
      <c r="BP103" s="6"/>
      <c r="BQ103" s="6"/>
    </row>
    <row r="104" spans="1:69" ht="31.8" customHeight="1" x14ac:dyDescent="0.3">
      <c r="A104" s="129"/>
      <c r="B104" s="111">
        <v>100</v>
      </c>
      <c r="C104" s="55" t="s">
        <v>127</v>
      </c>
      <c r="D104" s="5" t="s">
        <v>4</v>
      </c>
      <c r="E104" s="5">
        <v>2</v>
      </c>
      <c r="F104" s="13" t="s">
        <v>126</v>
      </c>
      <c r="G104" s="10" t="s">
        <v>154</v>
      </c>
      <c r="H104" s="17">
        <v>181.9</v>
      </c>
      <c r="I104" s="17">
        <f>H104*E104</f>
        <v>363.8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5"/>
      <c r="Y104" s="5"/>
      <c r="Z104" s="5"/>
      <c r="AA104" s="5"/>
      <c r="AB104" s="5"/>
      <c r="AC104" s="5"/>
      <c r="AD104" s="20"/>
      <c r="AE104" s="20"/>
      <c r="AF104" s="5"/>
      <c r="AG104" s="5"/>
      <c r="AH104" s="5"/>
      <c r="AI104" s="5"/>
      <c r="AJ104" s="5"/>
      <c r="AK104" s="5"/>
      <c r="AL104" s="5"/>
      <c r="AM104" s="5"/>
      <c r="AN104" s="5"/>
      <c r="AO104" s="45"/>
      <c r="AP104" s="6"/>
      <c r="AQ104" s="50"/>
      <c r="AR104" s="6"/>
      <c r="AS104" s="6"/>
      <c r="AT104" s="6"/>
      <c r="AU104" s="6"/>
      <c r="AV104" s="7"/>
      <c r="AW104" s="7"/>
      <c r="AX104" s="7"/>
      <c r="AY104" s="7"/>
      <c r="AZ104" s="5"/>
      <c r="BA104" s="5"/>
      <c r="BB104" s="6"/>
      <c r="BC104" s="6"/>
      <c r="BD104" s="6"/>
      <c r="BE104" s="6"/>
      <c r="BF104" s="5"/>
      <c r="BG104" s="5"/>
      <c r="BH104" s="6"/>
      <c r="BI104" s="6"/>
      <c r="BJ104" s="6"/>
      <c r="BK104" s="6"/>
      <c r="BL104" s="6"/>
      <c r="BM104" s="6"/>
      <c r="BN104" s="6"/>
      <c r="BO104" s="6"/>
      <c r="BP104" s="6"/>
      <c r="BQ104" s="6"/>
    </row>
    <row r="105" spans="1:69" ht="31.8" customHeight="1" x14ac:dyDescent="0.3">
      <c r="A105" s="129"/>
      <c r="B105" s="63">
        <v>101</v>
      </c>
      <c r="C105" s="57" t="s">
        <v>131</v>
      </c>
      <c r="D105" s="5" t="s">
        <v>4</v>
      </c>
      <c r="E105" s="5">
        <v>10</v>
      </c>
      <c r="F105" s="15" t="s">
        <v>130</v>
      </c>
      <c r="G105" s="10" t="s">
        <v>154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4">
        <v>25.03</v>
      </c>
      <c r="W105" s="24">
        <f>V105*E105</f>
        <v>250.3</v>
      </c>
      <c r="X105" s="5"/>
      <c r="Y105" s="5"/>
      <c r="Z105" s="5"/>
      <c r="AA105" s="5"/>
      <c r="AB105" s="5"/>
      <c r="AC105" s="5"/>
      <c r="AD105" s="20"/>
      <c r="AE105" s="20"/>
      <c r="AF105" s="5"/>
      <c r="AG105" s="5"/>
      <c r="AH105" s="5"/>
      <c r="AI105" s="5"/>
      <c r="AJ105" s="5"/>
      <c r="AK105" s="5"/>
      <c r="AL105" s="5"/>
      <c r="AM105" s="5"/>
      <c r="AN105" s="5"/>
      <c r="AO105" s="45"/>
      <c r="AP105" s="6"/>
      <c r="AQ105" s="50"/>
      <c r="AR105" s="6"/>
      <c r="AS105" s="6"/>
      <c r="AT105" s="6"/>
      <c r="AU105" s="6"/>
      <c r="AV105" s="7"/>
      <c r="AW105" s="7"/>
      <c r="AX105" s="7"/>
      <c r="AY105" s="7"/>
      <c r="AZ105" s="5"/>
      <c r="BA105" s="5"/>
      <c r="BB105" s="6"/>
      <c r="BC105" s="6"/>
      <c r="BD105" s="6"/>
      <c r="BE105" s="6"/>
      <c r="BF105" s="5"/>
      <c r="BG105" s="5"/>
      <c r="BH105" s="6"/>
      <c r="BI105" s="6"/>
      <c r="BJ105" s="6"/>
      <c r="BK105" s="6"/>
      <c r="BL105" s="6"/>
      <c r="BM105" s="6"/>
      <c r="BN105" s="6"/>
      <c r="BO105" s="6"/>
      <c r="BP105" s="6"/>
      <c r="BQ105" s="6"/>
    </row>
    <row r="106" spans="1:69" ht="31.8" customHeight="1" x14ac:dyDescent="0.3">
      <c r="A106" s="129"/>
      <c r="B106" s="63">
        <v>102</v>
      </c>
      <c r="C106" s="57" t="s">
        <v>132</v>
      </c>
      <c r="D106" s="5" t="s">
        <v>4</v>
      </c>
      <c r="E106" s="5">
        <v>10</v>
      </c>
      <c r="F106" s="15" t="s">
        <v>133</v>
      </c>
      <c r="G106" s="10" t="s">
        <v>154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17">
        <v>13.38</v>
      </c>
      <c r="Y106" s="17">
        <f>X106*E106</f>
        <v>133.80000000000001</v>
      </c>
      <c r="Z106" s="5"/>
      <c r="AA106" s="5"/>
      <c r="AB106" s="5"/>
      <c r="AC106" s="5"/>
      <c r="AD106" s="20"/>
      <c r="AE106" s="20"/>
      <c r="AF106" s="5"/>
      <c r="AG106" s="5"/>
      <c r="AH106" s="5"/>
      <c r="AI106" s="5"/>
      <c r="AJ106" s="5"/>
      <c r="AK106" s="5"/>
      <c r="AL106" s="5"/>
      <c r="AM106" s="5"/>
      <c r="AN106" s="5"/>
      <c r="AO106" s="45"/>
      <c r="AP106" s="6"/>
      <c r="AQ106" s="50"/>
      <c r="AR106" s="6"/>
      <c r="AS106" s="6"/>
      <c r="AT106" s="6"/>
      <c r="AU106" s="6"/>
      <c r="AV106" s="7"/>
      <c r="AW106" s="7"/>
      <c r="AX106" s="7"/>
      <c r="AY106" s="7"/>
      <c r="AZ106" s="5"/>
      <c r="BA106" s="5"/>
      <c r="BB106" s="6"/>
      <c r="BC106" s="6"/>
      <c r="BD106" s="6"/>
      <c r="BE106" s="6"/>
      <c r="BF106" s="5"/>
      <c r="BG106" s="5"/>
      <c r="BH106" s="6"/>
      <c r="BI106" s="6"/>
      <c r="BJ106" s="6"/>
      <c r="BK106" s="6"/>
      <c r="BL106" s="6"/>
      <c r="BM106" s="6"/>
      <c r="BN106" s="6"/>
      <c r="BO106" s="6"/>
      <c r="BP106" s="6"/>
      <c r="BQ106" s="6"/>
    </row>
    <row r="107" spans="1:69" ht="31.8" customHeight="1" x14ac:dyDescent="0.3">
      <c r="A107" s="129"/>
      <c r="B107" s="63">
        <v>103</v>
      </c>
      <c r="C107" s="57" t="s">
        <v>120</v>
      </c>
      <c r="D107" s="5" t="s">
        <v>4</v>
      </c>
      <c r="E107" s="5">
        <v>2</v>
      </c>
      <c r="F107" s="15" t="s">
        <v>121</v>
      </c>
      <c r="G107" s="10" t="s">
        <v>154</v>
      </c>
      <c r="H107" s="6"/>
      <c r="I107" s="6"/>
      <c r="J107" s="6"/>
      <c r="K107" s="6"/>
      <c r="L107" s="6"/>
      <c r="M107" s="6"/>
      <c r="N107" s="6"/>
      <c r="O107" s="6"/>
      <c r="P107" s="17">
        <v>58.24</v>
      </c>
      <c r="Q107" s="17">
        <f>P107*E107</f>
        <v>116.48</v>
      </c>
      <c r="R107" s="6"/>
      <c r="S107" s="6"/>
      <c r="T107" s="6"/>
      <c r="U107" s="6"/>
      <c r="V107" s="6"/>
      <c r="W107" s="6"/>
      <c r="X107" s="5"/>
      <c r="Y107" s="5"/>
      <c r="Z107" s="5"/>
      <c r="AA107" s="5"/>
      <c r="AB107" s="5"/>
      <c r="AC107" s="5"/>
      <c r="AD107" s="20"/>
      <c r="AE107" s="20"/>
      <c r="AF107" s="5"/>
      <c r="AG107" s="5"/>
      <c r="AH107" s="5"/>
      <c r="AI107" s="5"/>
      <c r="AJ107" s="5"/>
      <c r="AK107" s="5"/>
      <c r="AL107" s="5"/>
      <c r="AM107" s="5"/>
      <c r="AN107" s="5"/>
      <c r="AO107" s="45"/>
      <c r="AP107" s="6"/>
      <c r="AQ107" s="50"/>
      <c r="AR107" s="6"/>
      <c r="AS107" s="6"/>
      <c r="AT107" s="6"/>
      <c r="AU107" s="6"/>
      <c r="AV107" s="7"/>
      <c r="AW107" s="7"/>
      <c r="AX107" s="7"/>
      <c r="AY107" s="7"/>
      <c r="AZ107" s="5"/>
      <c r="BA107" s="5"/>
      <c r="BB107" s="6"/>
      <c r="BC107" s="6"/>
      <c r="BD107" s="6"/>
      <c r="BE107" s="6"/>
      <c r="BF107" s="5"/>
      <c r="BG107" s="5"/>
      <c r="BH107" s="6"/>
      <c r="BI107" s="6"/>
      <c r="BJ107" s="6"/>
      <c r="BK107" s="6"/>
      <c r="BL107" s="6"/>
      <c r="BM107" s="6"/>
      <c r="BN107" s="6"/>
      <c r="BO107" s="6"/>
      <c r="BP107" s="6"/>
      <c r="BQ107" s="6"/>
    </row>
    <row r="108" spans="1:69" ht="31.8" customHeight="1" x14ac:dyDescent="0.3">
      <c r="A108" s="129"/>
      <c r="B108" s="63">
        <v>104</v>
      </c>
      <c r="C108" s="57" t="s">
        <v>122</v>
      </c>
      <c r="D108" s="5" t="s">
        <v>4</v>
      </c>
      <c r="E108" s="5">
        <v>2</v>
      </c>
      <c r="F108" s="15" t="s">
        <v>123</v>
      </c>
      <c r="G108" s="10" t="s">
        <v>154</v>
      </c>
      <c r="H108" s="6"/>
      <c r="I108" s="6"/>
      <c r="J108" s="6"/>
      <c r="K108" s="6"/>
      <c r="L108" s="6"/>
      <c r="M108" s="6"/>
      <c r="N108" s="6"/>
      <c r="O108" s="6"/>
      <c r="P108" s="17">
        <v>53.38</v>
      </c>
      <c r="Q108" s="17">
        <f>P108*E108</f>
        <v>106.76</v>
      </c>
      <c r="R108" s="6"/>
      <c r="S108" s="6"/>
      <c r="T108" s="6"/>
      <c r="U108" s="6"/>
      <c r="V108" s="6"/>
      <c r="W108" s="6"/>
      <c r="X108" s="5"/>
      <c r="Y108" s="5"/>
      <c r="Z108" s="5"/>
      <c r="AA108" s="5"/>
      <c r="AB108" s="5"/>
      <c r="AC108" s="5"/>
      <c r="AD108" s="20"/>
      <c r="AE108" s="20"/>
      <c r="AF108" s="5"/>
      <c r="AG108" s="5"/>
      <c r="AH108" s="5"/>
      <c r="AI108" s="5"/>
      <c r="AJ108" s="5"/>
      <c r="AK108" s="5"/>
      <c r="AL108" s="5"/>
      <c r="AM108" s="5"/>
      <c r="AN108" s="5"/>
      <c r="AO108" s="45"/>
      <c r="AP108" s="6"/>
      <c r="AQ108" s="50"/>
      <c r="AR108" s="6"/>
      <c r="AS108" s="6"/>
      <c r="AT108" s="6"/>
      <c r="AU108" s="6"/>
      <c r="AV108" s="7"/>
      <c r="AW108" s="7"/>
      <c r="AX108" s="7"/>
      <c r="AY108" s="7"/>
      <c r="AZ108" s="5"/>
      <c r="BA108" s="5"/>
      <c r="BB108" s="6"/>
      <c r="BC108" s="6"/>
      <c r="BD108" s="6"/>
      <c r="BE108" s="6"/>
      <c r="BF108" s="5"/>
      <c r="BG108" s="5"/>
      <c r="BH108" s="6"/>
      <c r="BI108" s="6"/>
      <c r="BJ108" s="6"/>
      <c r="BK108" s="6"/>
      <c r="BL108" s="6"/>
      <c r="BM108" s="6"/>
      <c r="BN108" s="6"/>
      <c r="BO108" s="6"/>
      <c r="BP108" s="6"/>
      <c r="BQ108" s="6"/>
    </row>
    <row r="109" spans="1:69" ht="31.8" customHeight="1" x14ac:dyDescent="0.3">
      <c r="A109" s="129"/>
      <c r="B109" s="63">
        <v>105</v>
      </c>
      <c r="C109" s="57" t="s">
        <v>124</v>
      </c>
      <c r="D109" s="5" t="s">
        <v>4</v>
      </c>
      <c r="E109" s="5">
        <v>2</v>
      </c>
      <c r="F109" s="15" t="s">
        <v>125</v>
      </c>
      <c r="G109" s="10" t="s">
        <v>154</v>
      </c>
      <c r="H109" s="114" t="s">
        <v>996</v>
      </c>
      <c r="I109" s="6"/>
      <c r="J109" s="6"/>
      <c r="K109" s="6"/>
      <c r="L109" s="6"/>
      <c r="M109" s="6"/>
      <c r="N109" s="6"/>
      <c r="O109" s="6"/>
      <c r="P109" s="17">
        <v>53.38</v>
      </c>
      <c r="Q109" s="17">
        <f>P109*E109</f>
        <v>106.76</v>
      </c>
      <c r="R109" s="6"/>
      <c r="S109" s="6"/>
      <c r="T109" s="6"/>
      <c r="U109" s="6"/>
      <c r="V109" s="6"/>
      <c r="W109" s="6"/>
      <c r="X109" s="5"/>
      <c r="Y109" s="5"/>
      <c r="Z109" s="5"/>
      <c r="AA109" s="5"/>
      <c r="AB109" s="5"/>
      <c r="AC109" s="5"/>
      <c r="AD109" s="20"/>
      <c r="AE109" s="20"/>
      <c r="AF109" s="5"/>
      <c r="AG109" s="5"/>
      <c r="AH109" s="5"/>
      <c r="AI109" s="5"/>
      <c r="AJ109" s="5"/>
      <c r="AK109" s="5"/>
      <c r="AL109" s="5"/>
      <c r="AM109" s="5"/>
      <c r="AN109" s="5"/>
      <c r="AO109" s="45"/>
      <c r="AP109" s="6"/>
      <c r="AQ109" s="50"/>
      <c r="AR109" s="6"/>
      <c r="AS109" s="6"/>
      <c r="AT109" s="6"/>
      <c r="AU109" s="6"/>
      <c r="AV109" s="7"/>
      <c r="AW109" s="7"/>
      <c r="AX109" s="7"/>
      <c r="AY109" s="7"/>
      <c r="AZ109" s="5"/>
      <c r="BA109" s="5"/>
      <c r="BB109" s="6"/>
      <c r="BC109" s="6"/>
      <c r="BD109" s="6"/>
      <c r="BE109" s="6"/>
      <c r="BF109" s="5"/>
      <c r="BG109" s="5"/>
      <c r="BH109" s="6"/>
      <c r="BI109" s="6"/>
      <c r="BJ109" s="6"/>
      <c r="BK109" s="6"/>
      <c r="BL109" s="6"/>
      <c r="BM109" s="6"/>
      <c r="BN109" s="6"/>
      <c r="BO109" s="6"/>
      <c r="BP109" s="6"/>
      <c r="BQ109" s="6"/>
    </row>
    <row r="110" spans="1:69" ht="31.8" customHeight="1" x14ac:dyDescent="0.3">
      <c r="A110" s="129"/>
      <c r="B110" s="63">
        <v>106</v>
      </c>
      <c r="C110" s="57" t="s">
        <v>124</v>
      </c>
      <c r="D110" s="5" t="s">
        <v>4</v>
      </c>
      <c r="E110" s="5">
        <v>5</v>
      </c>
      <c r="F110" s="15" t="s">
        <v>134</v>
      </c>
      <c r="G110" s="10" t="s">
        <v>154</v>
      </c>
      <c r="H110" s="6"/>
      <c r="I110" s="6"/>
      <c r="J110" s="6"/>
      <c r="K110" s="6"/>
      <c r="L110" s="6"/>
      <c r="M110" s="6"/>
      <c r="N110" s="6"/>
      <c r="O110" s="6"/>
      <c r="P110" s="17">
        <v>23.29</v>
      </c>
      <c r="Q110" s="17">
        <f>P110*E110</f>
        <v>116.44999999999999</v>
      </c>
      <c r="R110" s="6"/>
      <c r="S110" s="6"/>
      <c r="T110" s="6"/>
      <c r="U110" s="6"/>
      <c r="V110" s="6"/>
      <c r="W110" s="6"/>
      <c r="X110" s="5"/>
      <c r="Y110" s="5"/>
      <c r="Z110" s="5"/>
      <c r="AA110" s="5"/>
      <c r="AB110" s="5"/>
      <c r="AC110" s="5"/>
      <c r="AD110" s="20"/>
      <c r="AE110" s="20"/>
      <c r="AF110" s="5"/>
      <c r="AG110" s="5"/>
      <c r="AH110" s="5"/>
      <c r="AI110" s="5"/>
      <c r="AJ110" s="5"/>
      <c r="AK110" s="5"/>
      <c r="AL110" s="5"/>
      <c r="AM110" s="5"/>
      <c r="AN110" s="5"/>
      <c r="AO110" s="45"/>
      <c r="AP110" s="6"/>
      <c r="AQ110" s="50"/>
      <c r="AR110" s="6"/>
      <c r="AS110" s="6"/>
      <c r="AT110" s="6"/>
      <c r="AU110" s="6"/>
      <c r="AV110" s="7"/>
      <c r="AW110" s="7"/>
      <c r="AX110" s="7"/>
      <c r="AY110" s="7"/>
      <c r="AZ110" s="5"/>
      <c r="BA110" s="5"/>
      <c r="BB110" s="6"/>
      <c r="BC110" s="6"/>
      <c r="BD110" s="6"/>
      <c r="BE110" s="6"/>
      <c r="BF110" s="5"/>
      <c r="BG110" s="5"/>
      <c r="BH110" s="6"/>
      <c r="BI110" s="6"/>
      <c r="BJ110" s="6"/>
      <c r="BK110" s="6"/>
      <c r="BL110" s="6"/>
      <c r="BM110" s="6"/>
      <c r="BN110" s="6"/>
      <c r="BO110" s="6"/>
      <c r="BP110" s="6"/>
      <c r="BQ110" s="6"/>
    </row>
    <row r="111" spans="1:69" ht="31.8" customHeight="1" x14ac:dyDescent="0.3">
      <c r="A111" s="129"/>
      <c r="B111" s="63">
        <v>107</v>
      </c>
      <c r="C111" s="57" t="s">
        <v>128</v>
      </c>
      <c r="D111" s="5" t="s">
        <v>4</v>
      </c>
      <c r="E111" s="5">
        <v>4</v>
      </c>
      <c r="F111" s="15" t="s">
        <v>129</v>
      </c>
      <c r="G111" s="10" t="s">
        <v>155</v>
      </c>
      <c r="H111" s="6"/>
      <c r="I111" s="6"/>
      <c r="J111" s="6"/>
      <c r="K111" s="6"/>
      <c r="L111" s="6"/>
      <c r="M111" s="6"/>
      <c r="N111" s="17">
        <v>386.4</v>
      </c>
      <c r="O111" s="17">
        <f>N111*E111</f>
        <v>1545.6</v>
      </c>
      <c r="P111" s="6"/>
      <c r="Q111" s="6"/>
      <c r="R111" s="6"/>
      <c r="S111" s="6"/>
      <c r="T111" s="6"/>
      <c r="U111" s="6"/>
      <c r="V111" s="6"/>
      <c r="W111" s="6"/>
      <c r="X111" s="5"/>
      <c r="Y111" s="5"/>
      <c r="Z111" s="5"/>
      <c r="AA111" s="5"/>
      <c r="AB111" s="5"/>
      <c r="AC111" s="5"/>
      <c r="AD111" s="20"/>
      <c r="AE111" s="20"/>
      <c r="AF111" s="5"/>
      <c r="AG111" s="5"/>
      <c r="AH111" s="5"/>
      <c r="AI111" s="5"/>
      <c r="AJ111" s="5"/>
      <c r="AK111" s="5"/>
      <c r="AL111" s="5"/>
      <c r="AM111" s="5"/>
      <c r="AN111" s="5"/>
      <c r="AO111" s="45"/>
      <c r="AP111" s="6"/>
      <c r="AQ111" s="50"/>
      <c r="AR111" s="6"/>
      <c r="AS111" s="6"/>
      <c r="AT111" s="6"/>
      <c r="AU111" s="6"/>
      <c r="AV111" s="7"/>
      <c r="AW111" s="7"/>
      <c r="AX111" s="7"/>
      <c r="AY111" s="7"/>
      <c r="AZ111" s="5"/>
      <c r="BA111" s="5"/>
      <c r="BB111" s="6"/>
      <c r="BC111" s="6"/>
      <c r="BD111" s="6"/>
      <c r="BE111" s="6"/>
      <c r="BF111" s="5"/>
      <c r="BG111" s="5"/>
      <c r="BH111" s="6"/>
      <c r="BI111" s="6"/>
      <c r="BJ111" s="6"/>
      <c r="BK111" s="6"/>
      <c r="BL111" s="6"/>
      <c r="BM111" s="6"/>
      <c r="BN111" s="6"/>
      <c r="BO111" s="6"/>
      <c r="BP111" s="6"/>
      <c r="BQ111" s="6"/>
    </row>
    <row r="112" spans="1:69" ht="31.8" customHeight="1" x14ac:dyDescent="0.3">
      <c r="A112" s="129"/>
      <c r="B112" s="63">
        <v>108</v>
      </c>
      <c r="C112" s="57" t="s">
        <v>135</v>
      </c>
      <c r="D112" s="5" t="s">
        <v>4</v>
      </c>
      <c r="E112" s="5">
        <v>2</v>
      </c>
      <c r="F112" s="15" t="s">
        <v>136</v>
      </c>
      <c r="G112" s="10" t="s">
        <v>154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17">
        <v>393.13</v>
      </c>
      <c r="Y112" s="17">
        <f>X112*E112</f>
        <v>786.26</v>
      </c>
      <c r="Z112" s="5"/>
      <c r="AA112" s="5"/>
      <c r="AB112" s="5"/>
      <c r="AC112" s="5"/>
      <c r="AD112" s="20"/>
      <c r="AE112" s="20"/>
      <c r="AF112" s="5"/>
      <c r="AG112" s="5"/>
      <c r="AH112" s="5"/>
      <c r="AI112" s="5"/>
      <c r="AJ112" s="5"/>
      <c r="AK112" s="5"/>
      <c r="AL112" s="5"/>
      <c r="AM112" s="5"/>
      <c r="AN112" s="5"/>
      <c r="AO112" s="45"/>
      <c r="AP112" s="6"/>
      <c r="AQ112" s="50"/>
      <c r="AR112" s="6"/>
      <c r="AS112" s="6"/>
      <c r="AT112" s="6"/>
      <c r="AU112" s="6"/>
      <c r="AV112" s="7"/>
      <c r="AW112" s="7"/>
      <c r="AX112" s="7"/>
      <c r="AY112" s="7"/>
      <c r="AZ112" s="5"/>
      <c r="BA112" s="5"/>
      <c r="BB112" s="6"/>
      <c r="BC112" s="6"/>
      <c r="BD112" s="6"/>
      <c r="BE112" s="6"/>
      <c r="BF112" s="5"/>
      <c r="BG112" s="5"/>
      <c r="BH112" s="6"/>
      <c r="BI112" s="6"/>
      <c r="BJ112" s="6"/>
      <c r="BK112" s="6"/>
      <c r="BL112" s="6"/>
      <c r="BM112" s="6"/>
      <c r="BN112" s="6"/>
      <c r="BO112" s="6"/>
      <c r="BP112" s="6"/>
      <c r="BQ112" s="6"/>
    </row>
    <row r="113" spans="1:69" ht="31.8" customHeight="1" x14ac:dyDescent="0.3">
      <c r="A113" s="129"/>
      <c r="B113" s="63">
        <v>109</v>
      </c>
      <c r="C113" s="57" t="s">
        <v>137</v>
      </c>
      <c r="D113" s="5" t="s">
        <v>4</v>
      </c>
      <c r="E113" s="5">
        <v>2</v>
      </c>
      <c r="F113" s="15" t="s">
        <v>139</v>
      </c>
      <c r="G113" s="10" t="s">
        <v>154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7">
        <v>114.66</v>
      </c>
      <c r="Y113" s="17">
        <f>X113*E113</f>
        <v>229.32</v>
      </c>
      <c r="Z113" s="5"/>
      <c r="AA113" s="5"/>
      <c r="AB113" s="5"/>
      <c r="AC113" s="5"/>
      <c r="AD113" s="20"/>
      <c r="AE113" s="20"/>
      <c r="AF113" s="5"/>
      <c r="AG113" s="5"/>
      <c r="AH113" s="5"/>
      <c r="AI113" s="5"/>
      <c r="AJ113" s="5"/>
      <c r="AK113" s="5"/>
      <c r="AL113" s="5"/>
      <c r="AM113" s="5"/>
      <c r="AN113" s="5"/>
      <c r="AO113" s="45"/>
      <c r="AP113" s="6"/>
      <c r="AQ113" s="50"/>
      <c r="AR113" s="6"/>
      <c r="AS113" s="6"/>
      <c r="AT113" s="6"/>
      <c r="AU113" s="6"/>
      <c r="AV113" s="7"/>
      <c r="AW113" s="7"/>
      <c r="AX113" s="7"/>
      <c r="AY113" s="7"/>
      <c r="AZ113" s="5"/>
      <c r="BA113" s="5"/>
      <c r="BB113" s="6"/>
      <c r="BC113" s="6"/>
      <c r="BD113" s="6"/>
      <c r="BE113" s="6"/>
      <c r="BF113" s="5"/>
      <c r="BG113" s="5"/>
      <c r="BH113" s="6"/>
      <c r="BI113" s="6"/>
      <c r="BJ113" s="6"/>
      <c r="BK113" s="6"/>
      <c r="BL113" s="6"/>
      <c r="BM113" s="6"/>
      <c r="BN113" s="6"/>
      <c r="BO113" s="6"/>
      <c r="BP113" s="6"/>
      <c r="BQ113" s="6"/>
    </row>
    <row r="114" spans="1:69" ht="31.8" customHeight="1" x14ac:dyDescent="0.3">
      <c r="A114" s="129"/>
      <c r="B114" s="63">
        <v>110</v>
      </c>
      <c r="C114" s="57" t="s">
        <v>138</v>
      </c>
      <c r="D114" s="5" t="s">
        <v>4</v>
      </c>
      <c r="E114" s="5">
        <v>2</v>
      </c>
      <c r="F114" s="15" t="s">
        <v>140</v>
      </c>
      <c r="G114" s="10" t="s">
        <v>154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17">
        <v>98.28</v>
      </c>
      <c r="Y114" s="17">
        <f>X114*E114</f>
        <v>196.56</v>
      </c>
      <c r="Z114" s="5"/>
      <c r="AA114" s="5"/>
      <c r="AB114" s="5"/>
      <c r="AC114" s="5"/>
      <c r="AD114" s="20"/>
      <c r="AE114" s="20"/>
      <c r="AF114" s="5"/>
      <c r="AG114" s="5"/>
      <c r="AH114" s="5"/>
      <c r="AI114" s="5"/>
      <c r="AJ114" s="5"/>
      <c r="AK114" s="5"/>
      <c r="AL114" s="5"/>
      <c r="AM114" s="5"/>
      <c r="AN114" s="5"/>
      <c r="AO114" s="45"/>
      <c r="AP114" s="6"/>
      <c r="AQ114" s="50"/>
      <c r="AR114" s="6"/>
      <c r="AS114" s="6"/>
      <c r="AT114" s="6"/>
      <c r="AU114" s="6"/>
      <c r="AV114" s="7"/>
      <c r="AW114" s="7"/>
      <c r="AX114" s="7"/>
      <c r="AY114" s="7"/>
      <c r="AZ114" s="5"/>
      <c r="BA114" s="5"/>
      <c r="BB114" s="6"/>
      <c r="BC114" s="6"/>
      <c r="BD114" s="6"/>
      <c r="BE114" s="6"/>
      <c r="BF114" s="5"/>
      <c r="BG114" s="5"/>
      <c r="BH114" s="6"/>
      <c r="BI114" s="6"/>
      <c r="BJ114" s="6"/>
      <c r="BK114" s="6"/>
      <c r="BL114" s="6"/>
      <c r="BM114" s="6"/>
      <c r="BN114" s="6"/>
      <c r="BO114" s="6"/>
      <c r="BP114" s="6"/>
      <c r="BQ114" s="6"/>
    </row>
    <row r="115" spans="1:69" ht="31.8" customHeight="1" thickBot="1" x14ac:dyDescent="0.35">
      <c r="A115" s="130"/>
      <c r="B115" s="111">
        <v>111</v>
      </c>
      <c r="C115" s="57" t="s">
        <v>158</v>
      </c>
      <c r="D115" s="5" t="s">
        <v>4</v>
      </c>
      <c r="E115" s="5">
        <v>1</v>
      </c>
      <c r="F115" s="15" t="s">
        <v>159</v>
      </c>
      <c r="G115" s="10" t="s">
        <v>154</v>
      </c>
      <c r="H115" s="17">
        <v>360.9</v>
      </c>
      <c r="I115" s="17">
        <f>H115*E115</f>
        <v>360.9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5"/>
      <c r="Y115" s="5"/>
      <c r="Z115" s="5"/>
      <c r="AA115" s="5"/>
      <c r="AB115" s="5"/>
      <c r="AC115" s="5"/>
      <c r="AD115" s="20"/>
      <c r="AE115" s="20"/>
      <c r="AF115" s="5"/>
      <c r="AG115" s="5"/>
      <c r="AH115" s="5"/>
      <c r="AI115" s="5"/>
      <c r="AJ115" s="5"/>
      <c r="AK115" s="5"/>
      <c r="AL115" s="5"/>
      <c r="AM115" s="5"/>
      <c r="AN115" s="5"/>
      <c r="AO115" s="45"/>
      <c r="AP115" s="6"/>
      <c r="AQ115" s="50"/>
      <c r="AR115" s="6"/>
      <c r="AS115" s="6"/>
      <c r="AT115" s="6"/>
      <c r="AU115" s="6"/>
      <c r="AV115" s="7"/>
      <c r="AW115" s="7"/>
      <c r="AX115" s="7"/>
      <c r="AY115" s="7"/>
      <c r="AZ115" s="5"/>
      <c r="BA115" s="5"/>
      <c r="BB115" s="6"/>
      <c r="BC115" s="6"/>
      <c r="BD115" s="6"/>
      <c r="BE115" s="6"/>
      <c r="BF115" s="5"/>
      <c r="BG115" s="5"/>
      <c r="BH115" s="6"/>
      <c r="BI115" s="6"/>
      <c r="BJ115" s="6"/>
      <c r="BK115" s="6"/>
      <c r="BL115" s="6"/>
      <c r="BM115" s="6"/>
      <c r="BN115" s="6"/>
      <c r="BO115" s="6"/>
      <c r="BP115" s="6"/>
      <c r="BQ115" s="6"/>
    </row>
    <row r="116" spans="1:69" ht="31.8" customHeight="1" x14ac:dyDescent="0.3">
      <c r="A116" s="128" t="s">
        <v>983</v>
      </c>
      <c r="B116" s="111">
        <v>112</v>
      </c>
      <c r="C116" s="57" t="s">
        <v>168</v>
      </c>
      <c r="D116" s="5" t="s">
        <v>4</v>
      </c>
      <c r="E116" s="5">
        <v>2</v>
      </c>
      <c r="F116" s="15" t="s">
        <v>169</v>
      </c>
      <c r="G116" s="8" t="s">
        <v>56</v>
      </c>
      <c r="H116" s="17">
        <v>184.27</v>
      </c>
      <c r="I116" s="17">
        <f>H116*E116</f>
        <v>368.54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5"/>
      <c r="Y116" s="5"/>
      <c r="Z116" s="5"/>
      <c r="AA116" s="5"/>
      <c r="AB116" s="5"/>
      <c r="AC116" s="5"/>
      <c r="AD116" s="20"/>
      <c r="AE116" s="20"/>
      <c r="AF116" s="5"/>
      <c r="AG116" s="5"/>
      <c r="AH116" s="5"/>
      <c r="AI116" s="5"/>
      <c r="AJ116" s="5"/>
      <c r="AK116" s="5"/>
      <c r="AL116" s="5"/>
      <c r="AM116" s="5"/>
      <c r="AN116" s="5"/>
      <c r="AO116" s="45"/>
      <c r="AP116" s="6"/>
      <c r="AQ116" s="50"/>
      <c r="AR116" s="6"/>
      <c r="AS116" s="6"/>
      <c r="AT116" s="6"/>
      <c r="AU116" s="6"/>
      <c r="AV116" s="7"/>
      <c r="AW116" s="7"/>
      <c r="AX116" s="7"/>
      <c r="AY116" s="7"/>
      <c r="AZ116" s="5"/>
      <c r="BA116" s="5"/>
      <c r="BB116" s="6"/>
      <c r="BC116" s="6"/>
      <c r="BD116" s="6"/>
      <c r="BE116" s="6"/>
      <c r="BF116" s="5"/>
      <c r="BG116" s="5"/>
      <c r="BH116" s="6"/>
      <c r="BI116" s="6"/>
      <c r="BJ116" s="6"/>
      <c r="BK116" s="6"/>
      <c r="BL116" s="6"/>
      <c r="BM116" s="6"/>
      <c r="BN116" s="6"/>
      <c r="BO116" s="6"/>
      <c r="BP116" s="6"/>
      <c r="BQ116" s="6"/>
    </row>
    <row r="117" spans="1:69" ht="31.8" customHeight="1" x14ac:dyDescent="0.3">
      <c r="A117" s="129"/>
      <c r="B117" s="111">
        <v>113</v>
      </c>
      <c r="C117" s="57" t="s">
        <v>171</v>
      </c>
      <c r="D117" s="5" t="s">
        <v>4</v>
      </c>
      <c r="E117" s="5">
        <v>2</v>
      </c>
      <c r="F117" s="15" t="s">
        <v>170</v>
      </c>
      <c r="G117" s="8" t="s">
        <v>56</v>
      </c>
      <c r="H117" s="17">
        <v>125</v>
      </c>
      <c r="I117" s="17">
        <f>H117*E117</f>
        <v>250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5"/>
      <c r="Y117" s="5"/>
      <c r="Z117" s="5"/>
      <c r="AA117" s="5"/>
      <c r="AB117" s="5"/>
      <c r="AC117" s="5"/>
      <c r="AD117" s="20"/>
      <c r="AE117" s="20"/>
      <c r="AF117" s="5"/>
      <c r="AG117" s="5"/>
      <c r="AH117" s="5"/>
      <c r="AI117" s="5"/>
      <c r="AJ117" s="5"/>
      <c r="AK117" s="5"/>
      <c r="AL117" s="5"/>
      <c r="AM117" s="5"/>
      <c r="AN117" s="5"/>
      <c r="AO117" s="45"/>
      <c r="AP117" s="6"/>
      <c r="AQ117" s="50"/>
      <c r="AR117" s="6"/>
      <c r="AS117" s="6"/>
      <c r="AT117" s="6"/>
      <c r="AU117" s="6"/>
      <c r="AV117" s="7"/>
      <c r="AW117" s="7"/>
      <c r="AX117" s="7"/>
      <c r="AY117" s="7"/>
      <c r="AZ117" s="5"/>
      <c r="BA117" s="5"/>
      <c r="BB117" s="6"/>
      <c r="BC117" s="6"/>
      <c r="BD117" s="6"/>
      <c r="BE117" s="6"/>
      <c r="BF117" s="5"/>
      <c r="BG117" s="5"/>
      <c r="BH117" s="6"/>
      <c r="BI117" s="6"/>
      <c r="BJ117" s="6"/>
      <c r="BK117" s="6"/>
      <c r="BL117" s="6"/>
      <c r="BM117" s="6"/>
      <c r="BN117" s="6"/>
      <c r="BO117" s="6"/>
      <c r="BP117" s="6"/>
      <c r="BQ117" s="6"/>
    </row>
    <row r="118" spans="1:69" ht="31.8" customHeight="1" x14ac:dyDescent="0.3">
      <c r="A118" s="129"/>
      <c r="B118" s="63">
        <v>114</v>
      </c>
      <c r="C118" s="57" t="s">
        <v>173</v>
      </c>
      <c r="D118" s="5" t="s">
        <v>4</v>
      </c>
      <c r="E118" s="5">
        <v>5</v>
      </c>
      <c r="F118" s="15" t="s">
        <v>172</v>
      </c>
      <c r="G118" s="8" t="s">
        <v>56</v>
      </c>
      <c r="H118" s="6"/>
      <c r="I118" s="6"/>
      <c r="J118" s="6"/>
      <c r="K118" s="6"/>
      <c r="L118" s="6"/>
      <c r="M118" s="6"/>
      <c r="N118" s="6"/>
      <c r="O118" s="6"/>
      <c r="P118" s="17">
        <v>36.67</v>
      </c>
      <c r="Q118" s="17">
        <f>P118*E118</f>
        <v>183.35000000000002</v>
      </c>
      <c r="R118" s="6"/>
      <c r="S118" s="6"/>
      <c r="T118" s="6"/>
      <c r="U118" s="6"/>
      <c r="V118" s="6"/>
      <c r="W118" s="6"/>
      <c r="X118" s="5"/>
      <c r="Y118" s="5"/>
      <c r="Z118" s="5"/>
      <c r="AA118" s="5"/>
      <c r="AB118" s="5"/>
      <c r="AC118" s="5"/>
      <c r="AD118" s="20"/>
      <c r="AE118" s="20"/>
      <c r="AF118" s="5"/>
      <c r="AG118" s="5"/>
      <c r="AH118" s="5"/>
      <c r="AI118" s="5"/>
      <c r="AJ118" s="5"/>
      <c r="AK118" s="5"/>
      <c r="AL118" s="5"/>
      <c r="AM118" s="5"/>
      <c r="AN118" s="5"/>
      <c r="AO118" s="45"/>
      <c r="AP118" s="6"/>
      <c r="AQ118" s="50"/>
      <c r="AR118" s="6"/>
      <c r="AS118" s="6"/>
      <c r="AT118" s="6"/>
      <c r="AU118" s="6"/>
      <c r="AV118" s="7"/>
      <c r="AW118" s="7"/>
      <c r="AX118" s="7"/>
      <c r="AY118" s="7"/>
      <c r="AZ118" s="5"/>
      <c r="BA118" s="5"/>
      <c r="BB118" s="6"/>
      <c r="BC118" s="6"/>
      <c r="BD118" s="6"/>
      <c r="BE118" s="6"/>
      <c r="BF118" s="5"/>
      <c r="BG118" s="5"/>
      <c r="BH118" s="6"/>
      <c r="BI118" s="6"/>
      <c r="BJ118" s="6"/>
      <c r="BK118" s="6"/>
      <c r="BL118" s="6"/>
      <c r="BM118" s="6"/>
      <c r="BN118" s="6"/>
      <c r="BO118" s="6"/>
      <c r="BP118" s="6"/>
      <c r="BQ118" s="6"/>
    </row>
    <row r="119" spans="1:69" ht="31.8" customHeight="1" x14ac:dyDescent="0.3">
      <c r="A119" s="129"/>
      <c r="B119" s="63">
        <v>115</v>
      </c>
      <c r="C119" s="57" t="s">
        <v>174</v>
      </c>
      <c r="D119" s="5" t="s">
        <v>4</v>
      </c>
      <c r="E119" s="5">
        <v>5</v>
      </c>
      <c r="F119" s="15" t="s">
        <v>175</v>
      </c>
      <c r="G119" s="8" t="s">
        <v>56</v>
      </c>
      <c r="H119" s="6"/>
      <c r="I119" s="6"/>
      <c r="J119" s="6"/>
      <c r="K119" s="6"/>
      <c r="L119" s="6"/>
      <c r="M119" s="6"/>
      <c r="N119" s="6"/>
      <c r="O119" s="6"/>
      <c r="P119" s="17">
        <v>36.67</v>
      </c>
      <c r="Q119" s="17">
        <f>P119*E119</f>
        <v>183.35000000000002</v>
      </c>
      <c r="R119" s="6"/>
      <c r="S119" s="6"/>
      <c r="T119" s="6"/>
      <c r="U119" s="6"/>
      <c r="V119" s="6"/>
      <c r="W119" s="6"/>
      <c r="X119" s="5"/>
      <c r="Y119" s="5"/>
      <c r="Z119" s="5"/>
      <c r="AA119" s="5"/>
      <c r="AB119" s="5"/>
      <c r="AC119" s="5"/>
      <c r="AD119" s="20"/>
      <c r="AE119" s="20"/>
      <c r="AF119" s="5"/>
      <c r="AG119" s="5"/>
      <c r="AH119" s="5"/>
      <c r="AI119" s="5"/>
      <c r="AJ119" s="5"/>
      <c r="AK119" s="5"/>
      <c r="AL119" s="5"/>
      <c r="AM119" s="5"/>
      <c r="AN119" s="5"/>
      <c r="AO119" s="45"/>
      <c r="AP119" s="6"/>
      <c r="AQ119" s="50"/>
      <c r="AR119" s="6"/>
      <c r="AS119" s="6"/>
      <c r="AT119" s="6"/>
      <c r="AU119" s="6"/>
      <c r="AV119" s="7"/>
      <c r="AW119" s="7"/>
      <c r="AX119" s="7"/>
      <c r="AY119" s="7"/>
      <c r="AZ119" s="5"/>
      <c r="BA119" s="5"/>
      <c r="BB119" s="6"/>
      <c r="BC119" s="6"/>
      <c r="BD119" s="6"/>
      <c r="BE119" s="6"/>
      <c r="BF119" s="5"/>
      <c r="BG119" s="5"/>
      <c r="BH119" s="6"/>
      <c r="BI119" s="6"/>
      <c r="BJ119" s="6"/>
      <c r="BK119" s="6"/>
      <c r="BL119" s="6"/>
      <c r="BM119" s="6"/>
      <c r="BN119" s="6"/>
      <c r="BO119" s="6"/>
      <c r="BP119" s="6"/>
      <c r="BQ119" s="6"/>
    </row>
    <row r="120" spans="1:69" ht="31.8" customHeight="1" x14ac:dyDescent="0.3">
      <c r="A120" s="129"/>
      <c r="B120" s="63">
        <v>116</v>
      </c>
      <c r="C120" s="56" t="s">
        <v>176</v>
      </c>
      <c r="D120" s="5" t="s">
        <v>4</v>
      </c>
      <c r="E120" s="5">
        <v>5</v>
      </c>
      <c r="F120" s="15" t="s">
        <v>177</v>
      </c>
      <c r="G120" s="8" t="s">
        <v>56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17">
        <v>44.45</v>
      </c>
      <c r="U120" s="17">
        <f>T120*E120</f>
        <v>222.25</v>
      </c>
      <c r="V120" s="6"/>
      <c r="W120" s="6"/>
      <c r="X120" s="5"/>
      <c r="Y120" s="5"/>
      <c r="Z120" s="5"/>
      <c r="AA120" s="5"/>
      <c r="AB120" s="5"/>
      <c r="AC120" s="5"/>
      <c r="AD120" s="20"/>
      <c r="AE120" s="20"/>
      <c r="AF120" s="5"/>
      <c r="AG120" s="5"/>
      <c r="AH120" s="5"/>
      <c r="AI120" s="5"/>
      <c r="AJ120" s="5"/>
      <c r="AK120" s="5"/>
      <c r="AL120" s="5"/>
      <c r="AM120" s="5"/>
      <c r="AN120" s="5"/>
      <c r="AO120" s="45"/>
      <c r="AP120" s="6"/>
      <c r="AQ120" s="50"/>
      <c r="AR120" s="6"/>
      <c r="AS120" s="6"/>
      <c r="AT120" s="6"/>
      <c r="AU120" s="6"/>
      <c r="AV120" s="7"/>
      <c r="AW120" s="7"/>
      <c r="AX120" s="7"/>
      <c r="AY120" s="7"/>
      <c r="AZ120" s="5"/>
      <c r="BA120" s="5"/>
      <c r="BB120" s="6"/>
      <c r="BC120" s="6"/>
      <c r="BD120" s="6"/>
      <c r="BE120" s="6"/>
      <c r="BF120" s="5"/>
      <c r="BG120" s="5"/>
      <c r="BH120" s="6"/>
      <c r="BI120" s="6"/>
      <c r="BJ120" s="6"/>
      <c r="BK120" s="6"/>
      <c r="BL120" s="6"/>
      <c r="BM120" s="6"/>
      <c r="BN120" s="6"/>
      <c r="BO120" s="6"/>
      <c r="BP120" s="6"/>
      <c r="BQ120" s="6"/>
    </row>
    <row r="121" spans="1:69" ht="31.8" customHeight="1" x14ac:dyDescent="0.3">
      <c r="A121" s="129"/>
      <c r="B121" s="63">
        <v>117</v>
      </c>
      <c r="C121" s="55" t="s">
        <v>179</v>
      </c>
      <c r="D121" s="5" t="s">
        <v>4</v>
      </c>
      <c r="E121" s="5">
        <v>1</v>
      </c>
      <c r="F121" s="15" t="s">
        <v>178</v>
      </c>
      <c r="G121" s="10" t="s">
        <v>614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5"/>
      <c r="Y121" s="5"/>
      <c r="Z121" s="5"/>
      <c r="AA121" s="5"/>
      <c r="AB121" s="5"/>
      <c r="AC121" s="5"/>
      <c r="AD121" s="24">
        <v>729</v>
      </c>
      <c r="AE121" s="24">
        <f>AD121*E121</f>
        <v>729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45"/>
      <c r="AP121" s="6"/>
      <c r="AQ121" s="50"/>
      <c r="AR121" s="6"/>
      <c r="AS121" s="6"/>
      <c r="AT121" s="6"/>
      <c r="AU121" s="6"/>
      <c r="AV121" s="7"/>
      <c r="AW121" s="7"/>
      <c r="AX121" s="7"/>
      <c r="AY121" s="7"/>
      <c r="AZ121" s="5"/>
      <c r="BA121" s="5"/>
      <c r="BB121" s="6"/>
      <c r="BC121" s="6"/>
      <c r="BD121" s="6"/>
      <c r="BE121" s="6"/>
      <c r="BF121" s="5"/>
      <c r="BG121" s="5"/>
      <c r="BH121" s="6"/>
      <c r="BI121" s="6"/>
      <c r="BJ121" s="6"/>
      <c r="BK121" s="6"/>
      <c r="BL121" s="6"/>
      <c r="BM121" s="6"/>
      <c r="BN121" s="6"/>
      <c r="BO121" s="6"/>
      <c r="BP121" s="6"/>
      <c r="BQ121" s="6"/>
    </row>
    <row r="122" spans="1:69" ht="31.8" customHeight="1" x14ac:dyDescent="0.3">
      <c r="A122" s="129"/>
      <c r="B122" s="63">
        <v>118</v>
      </c>
      <c r="C122" s="56" t="s">
        <v>180</v>
      </c>
      <c r="D122" s="5" t="s">
        <v>4</v>
      </c>
      <c r="E122" s="5">
        <v>2</v>
      </c>
      <c r="F122" s="15" t="s">
        <v>181</v>
      </c>
      <c r="G122" s="10" t="s">
        <v>614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5"/>
      <c r="Y122" s="5"/>
      <c r="Z122" s="5"/>
      <c r="AA122" s="5"/>
      <c r="AB122" s="5"/>
      <c r="AC122" s="5"/>
      <c r="AD122" s="24">
        <v>729</v>
      </c>
      <c r="AE122" s="24">
        <f>AD122*E122</f>
        <v>1458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45"/>
      <c r="AP122" s="6"/>
      <c r="AQ122" s="50"/>
      <c r="AR122" s="6"/>
      <c r="AS122" s="6"/>
      <c r="AT122" s="6"/>
      <c r="AU122" s="6"/>
      <c r="AV122" s="7"/>
      <c r="AW122" s="7"/>
      <c r="AX122" s="7"/>
      <c r="AY122" s="7"/>
      <c r="AZ122" s="5"/>
      <c r="BA122" s="5"/>
      <c r="BB122" s="6"/>
      <c r="BC122" s="6"/>
      <c r="BD122" s="6"/>
      <c r="BE122" s="6"/>
      <c r="BF122" s="5"/>
      <c r="BG122" s="5"/>
      <c r="BH122" s="6"/>
      <c r="BI122" s="6"/>
      <c r="BJ122" s="6"/>
      <c r="BK122" s="6"/>
      <c r="BL122" s="6"/>
      <c r="BM122" s="6"/>
      <c r="BN122" s="6"/>
      <c r="BO122" s="6"/>
      <c r="BP122" s="6"/>
      <c r="BQ122" s="6"/>
    </row>
    <row r="123" spans="1:69" ht="31.8" customHeight="1" x14ac:dyDescent="0.3">
      <c r="A123" s="129"/>
      <c r="B123" s="63">
        <v>119</v>
      </c>
      <c r="C123" s="56" t="s">
        <v>182</v>
      </c>
      <c r="D123" s="5" t="s">
        <v>4</v>
      </c>
      <c r="E123" s="5">
        <v>2</v>
      </c>
      <c r="F123" s="15" t="s">
        <v>183</v>
      </c>
      <c r="G123" s="10" t="s">
        <v>614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5"/>
      <c r="Y123" s="5"/>
      <c r="Z123" s="5"/>
      <c r="AA123" s="5"/>
      <c r="AB123" s="5"/>
      <c r="AC123" s="5"/>
      <c r="AD123" s="24">
        <v>729</v>
      </c>
      <c r="AE123" s="24">
        <f>AD123*E123</f>
        <v>1458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45"/>
      <c r="AP123" s="6"/>
      <c r="AQ123" s="50"/>
      <c r="AR123" s="6"/>
      <c r="AS123" s="6"/>
      <c r="AT123" s="6"/>
      <c r="AU123" s="6"/>
      <c r="AV123" s="7"/>
      <c r="AW123" s="7"/>
      <c r="AX123" s="7"/>
      <c r="AY123" s="7"/>
      <c r="AZ123" s="5"/>
      <c r="BA123" s="5"/>
      <c r="BB123" s="6"/>
      <c r="BC123" s="6"/>
      <c r="BD123" s="6"/>
      <c r="BE123" s="6"/>
      <c r="BF123" s="5"/>
      <c r="BG123" s="5"/>
      <c r="BH123" s="6"/>
      <c r="BI123" s="6"/>
      <c r="BJ123" s="6"/>
      <c r="BK123" s="6"/>
      <c r="BL123" s="6"/>
      <c r="BM123" s="6"/>
      <c r="BN123" s="6"/>
      <c r="BO123" s="6"/>
      <c r="BP123" s="6"/>
      <c r="BQ123" s="6"/>
    </row>
    <row r="124" spans="1:69" ht="31.8" customHeight="1" x14ac:dyDescent="0.3">
      <c r="A124" s="129"/>
      <c r="B124" s="63">
        <v>120</v>
      </c>
      <c r="C124" s="56" t="s">
        <v>184</v>
      </c>
      <c r="D124" s="5" t="s">
        <v>4</v>
      </c>
      <c r="E124" s="5">
        <v>1</v>
      </c>
      <c r="F124" s="15" t="s">
        <v>185</v>
      </c>
      <c r="G124" s="10" t="s">
        <v>614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5"/>
      <c r="Y124" s="5"/>
      <c r="Z124" s="5"/>
      <c r="AA124" s="5"/>
      <c r="AB124" s="5"/>
      <c r="AC124" s="5"/>
      <c r="AD124" s="24">
        <v>729</v>
      </c>
      <c r="AE124" s="24">
        <f>AD124*E124</f>
        <v>729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45"/>
      <c r="AP124" s="6"/>
      <c r="AQ124" s="50"/>
      <c r="AR124" s="6"/>
      <c r="AS124" s="6"/>
      <c r="AT124" s="6"/>
      <c r="AU124" s="6"/>
      <c r="AV124" s="7"/>
      <c r="AW124" s="7"/>
      <c r="AX124" s="7"/>
      <c r="AY124" s="7"/>
      <c r="AZ124" s="5"/>
      <c r="BA124" s="5"/>
      <c r="BB124" s="6"/>
      <c r="BC124" s="6"/>
      <c r="BD124" s="6"/>
      <c r="BE124" s="6"/>
      <c r="BF124" s="5"/>
      <c r="BG124" s="5"/>
      <c r="BH124" s="6"/>
      <c r="BI124" s="6"/>
      <c r="BJ124" s="6"/>
      <c r="BK124" s="6"/>
      <c r="BL124" s="6"/>
      <c r="BM124" s="6"/>
      <c r="BN124" s="6"/>
      <c r="BO124" s="6"/>
      <c r="BP124" s="6"/>
      <c r="BQ124" s="6"/>
    </row>
    <row r="125" spans="1:69" ht="31.8" customHeight="1" thickBot="1" x14ac:dyDescent="0.35">
      <c r="A125" s="130"/>
      <c r="B125" s="63">
        <v>121</v>
      </c>
      <c r="C125" s="56" t="s">
        <v>187</v>
      </c>
      <c r="D125" s="5" t="s">
        <v>4</v>
      </c>
      <c r="E125" s="5">
        <v>1</v>
      </c>
      <c r="F125" s="15" t="s">
        <v>186</v>
      </c>
      <c r="G125" s="10" t="s">
        <v>614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5"/>
      <c r="Y125" s="5"/>
      <c r="Z125" s="5"/>
      <c r="AA125" s="5"/>
      <c r="AB125" s="5"/>
      <c r="AC125" s="5"/>
      <c r="AD125" s="24">
        <v>729</v>
      </c>
      <c r="AE125" s="24">
        <f>AD125*E125</f>
        <v>729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45"/>
      <c r="AP125" s="6"/>
      <c r="AQ125" s="50"/>
      <c r="AR125" s="6"/>
      <c r="AS125" s="6"/>
      <c r="AT125" s="6"/>
      <c r="AU125" s="6"/>
      <c r="AV125" s="7"/>
      <c r="AW125" s="7"/>
      <c r="AX125" s="7"/>
      <c r="AY125" s="7"/>
      <c r="AZ125" s="5"/>
      <c r="BA125" s="5"/>
      <c r="BB125" s="6"/>
      <c r="BC125" s="6"/>
      <c r="BD125" s="6"/>
      <c r="BE125" s="6"/>
      <c r="BF125" s="5"/>
      <c r="BG125" s="5"/>
      <c r="BH125" s="6"/>
      <c r="BI125" s="6"/>
      <c r="BJ125" s="6"/>
      <c r="BK125" s="6"/>
      <c r="BL125" s="6"/>
      <c r="BM125" s="6"/>
      <c r="BN125" s="6"/>
      <c r="BO125" s="6"/>
      <c r="BP125" s="6"/>
      <c r="BQ125" s="6"/>
    </row>
    <row r="126" spans="1:69" ht="72" customHeight="1" x14ac:dyDescent="0.3">
      <c r="A126" s="134" t="s">
        <v>982</v>
      </c>
      <c r="B126" s="63">
        <v>122</v>
      </c>
      <c r="C126" s="56" t="s">
        <v>673</v>
      </c>
      <c r="D126" s="5" t="s">
        <v>4</v>
      </c>
      <c r="E126" s="5">
        <v>6</v>
      </c>
      <c r="F126" s="15" t="s">
        <v>672</v>
      </c>
      <c r="G126" s="8" t="s">
        <v>675</v>
      </c>
      <c r="H126" s="6"/>
      <c r="I126" s="6"/>
      <c r="J126" s="6"/>
      <c r="K126" s="6"/>
      <c r="L126" s="6"/>
      <c r="M126" s="6"/>
      <c r="N126" s="17">
        <v>138</v>
      </c>
      <c r="O126" s="17">
        <f>N126*E126</f>
        <v>828</v>
      </c>
      <c r="P126" s="6"/>
      <c r="Q126" s="6"/>
      <c r="R126" s="6"/>
      <c r="S126" s="6"/>
      <c r="T126" s="6"/>
      <c r="U126" s="6"/>
      <c r="V126" s="6"/>
      <c r="W126" s="6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6"/>
      <c r="AQ126" s="6"/>
      <c r="AR126" s="6"/>
      <c r="AS126" s="6"/>
      <c r="AT126" s="6"/>
      <c r="AU126" s="6"/>
      <c r="AV126" s="7"/>
      <c r="AW126" s="7"/>
      <c r="AX126" s="7"/>
      <c r="AY126" s="7"/>
      <c r="AZ126" s="5"/>
      <c r="BA126" s="5"/>
      <c r="BB126" s="6"/>
      <c r="BC126" s="6"/>
      <c r="BD126" s="6"/>
      <c r="BE126" s="6"/>
      <c r="BF126" s="5"/>
      <c r="BG126" s="5"/>
      <c r="BH126" s="6"/>
      <c r="BI126" s="6"/>
      <c r="BJ126" s="6"/>
      <c r="BK126" s="6"/>
      <c r="BL126" s="6"/>
      <c r="BM126" s="6"/>
      <c r="BN126" s="6"/>
      <c r="BO126" s="6"/>
      <c r="BP126" s="6"/>
      <c r="BQ126" s="6"/>
    </row>
    <row r="127" spans="1:69" ht="28.8" x14ac:dyDescent="0.3">
      <c r="A127" s="135"/>
      <c r="B127" s="63">
        <v>123</v>
      </c>
      <c r="C127" s="56" t="s">
        <v>669</v>
      </c>
      <c r="D127" s="5" t="s">
        <v>4</v>
      </c>
      <c r="E127" s="5">
        <v>6</v>
      </c>
      <c r="F127" s="15" t="s">
        <v>670</v>
      </c>
      <c r="G127" s="8" t="s">
        <v>671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17">
        <v>28.53</v>
      </c>
      <c r="U127" s="17">
        <f>T127*E127</f>
        <v>171.18</v>
      </c>
      <c r="V127" s="6"/>
      <c r="W127" s="6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6"/>
      <c r="AQ127" s="6"/>
      <c r="AR127" s="6"/>
      <c r="AS127" s="6"/>
      <c r="AT127" s="6"/>
      <c r="AU127" s="6"/>
      <c r="AV127" s="7"/>
      <c r="AW127" s="7"/>
      <c r="AX127" s="7"/>
      <c r="AY127" s="7"/>
      <c r="AZ127" s="5"/>
      <c r="BA127" s="5"/>
      <c r="BB127" s="6"/>
      <c r="BC127" s="6"/>
      <c r="BD127" s="6"/>
      <c r="BE127" s="6"/>
      <c r="BF127" s="5"/>
      <c r="BG127" s="5"/>
      <c r="BH127" s="6"/>
      <c r="BI127" s="6"/>
      <c r="BJ127" s="6"/>
      <c r="BK127" s="6"/>
      <c r="BL127" s="6"/>
      <c r="BM127" s="6"/>
      <c r="BN127" s="6"/>
      <c r="BO127" s="6"/>
      <c r="BP127" s="6"/>
      <c r="BQ127" s="6"/>
    </row>
    <row r="128" spans="1:69" ht="28.8" x14ac:dyDescent="0.3">
      <c r="A128" s="135"/>
      <c r="B128" s="63">
        <v>124</v>
      </c>
      <c r="C128" s="56" t="s">
        <v>664</v>
      </c>
      <c r="D128" s="5" t="s">
        <v>4</v>
      </c>
      <c r="E128" s="5">
        <v>2</v>
      </c>
      <c r="F128" s="15" t="s">
        <v>663</v>
      </c>
      <c r="G128" s="8" t="s">
        <v>665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17">
        <v>1654.41</v>
      </c>
      <c r="U128" s="17">
        <f>T128*E128</f>
        <v>3308.82</v>
      </c>
      <c r="V128" s="6"/>
      <c r="W128" s="6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6"/>
      <c r="AQ128" s="6"/>
      <c r="AR128" s="6"/>
      <c r="AS128" s="6"/>
      <c r="AT128" s="6"/>
      <c r="AU128" s="6"/>
      <c r="AV128" s="7"/>
      <c r="AW128" s="7"/>
      <c r="AX128" s="7"/>
      <c r="AY128" s="7"/>
      <c r="AZ128" s="5"/>
      <c r="BA128" s="5"/>
      <c r="BB128" s="6"/>
      <c r="BC128" s="6"/>
      <c r="BD128" s="6"/>
      <c r="BE128" s="6"/>
      <c r="BF128" s="5"/>
      <c r="BG128" s="5"/>
      <c r="BH128" s="6"/>
      <c r="BI128" s="6"/>
      <c r="BJ128" s="6"/>
      <c r="BK128" s="6"/>
      <c r="BL128" s="6"/>
      <c r="BM128" s="6"/>
      <c r="BN128" s="6"/>
      <c r="BO128" s="6"/>
      <c r="BP128" s="6"/>
      <c r="BQ128" s="6"/>
    </row>
    <row r="129" spans="1:69" ht="31.8" customHeight="1" x14ac:dyDescent="0.3">
      <c r="A129" s="135"/>
      <c r="B129" s="111">
        <v>125</v>
      </c>
      <c r="C129" s="56" t="s">
        <v>205</v>
      </c>
      <c r="D129" s="5" t="s">
        <v>4</v>
      </c>
      <c r="E129" s="5">
        <v>1</v>
      </c>
      <c r="F129" s="15" t="s">
        <v>206</v>
      </c>
      <c r="G129" s="10" t="s">
        <v>615</v>
      </c>
      <c r="H129" s="17">
        <v>1150</v>
      </c>
      <c r="I129" s="17">
        <f>H129*E129</f>
        <v>1150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5"/>
      <c r="Y129" s="5"/>
      <c r="Z129" s="5"/>
      <c r="AA129" s="5"/>
      <c r="AB129" s="5"/>
      <c r="AC129" s="5"/>
      <c r="AD129" s="20"/>
      <c r="AE129" s="20"/>
      <c r="AF129" s="5"/>
      <c r="AG129" s="5"/>
      <c r="AH129" s="5"/>
      <c r="AI129" s="5"/>
      <c r="AJ129" s="5"/>
      <c r="AK129" s="5"/>
      <c r="AL129" s="5"/>
      <c r="AM129" s="5"/>
      <c r="AN129" s="5"/>
      <c r="AO129" s="45"/>
      <c r="AP129" s="6"/>
      <c r="AQ129" s="50"/>
      <c r="AR129" s="6"/>
      <c r="AS129" s="6"/>
      <c r="AT129" s="6"/>
      <c r="AU129" s="6"/>
      <c r="AV129" s="7"/>
      <c r="AW129" s="7"/>
      <c r="AX129" s="7"/>
      <c r="AY129" s="7"/>
      <c r="AZ129" s="5"/>
      <c r="BA129" s="5"/>
      <c r="BB129" s="6"/>
      <c r="BC129" s="6"/>
      <c r="BD129" s="6"/>
      <c r="BE129" s="6"/>
      <c r="BF129" s="5"/>
      <c r="BG129" s="5"/>
      <c r="BH129" s="6"/>
      <c r="BI129" s="6"/>
      <c r="BJ129" s="6"/>
      <c r="BK129" s="6"/>
      <c r="BL129" s="6"/>
      <c r="BM129" s="6"/>
      <c r="BN129" s="6"/>
      <c r="BO129" s="6"/>
      <c r="BP129" s="6"/>
      <c r="BQ129" s="6"/>
    </row>
    <row r="130" spans="1:69" ht="31.8" customHeight="1" x14ac:dyDescent="0.3">
      <c r="A130" s="135"/>
      <c r="B130" s="111">
        <v>126</v>
      </c>
      <c r="C130" s="55" t="s">
        <v>207</v>
      </c>
      <c r="D130" s="5" t="s">
        <v>4</v>
      </c>
      <c r="E130" s="5">
        <v>1</v>
      </c>
      <c r="F130" s="15" t="s">
        <v>208</v>
      </c>
      <c r="G130" s="11" t="s">
        <v>615</v>
      </c>
      <c r="H130" s="17">
        <v>1149</v>
      </c>
      <c r="I130" s="17">
        <f>H130*E130</f>
        <v>1149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5"/>
      <c r="Y130" s="5"/>
      <c r="Z130" s="5"/>
      <c r="AA130" s="5"/>
      <c r="AB130" s="5"/>
      <c r="AC130" s="5"/>
      <c r="AD130" s="20"/>
      <c r="AE130" s="20"/>
      <c r="AF130" s="5"/>
      <c r="AG130" s="5"/>
      <c r="AH130" s="5"/>
      <c r="AI130" s="5"/>
      <c r="AJ130" s="5"/>
      <c r="AK130" s="5"/>
      <c r="AL130" s="5"/>
      <c r="AM130" s="5"/>
      <c r="AN130" s="5"/>
      <c r="AO130" s="45"/>
      <c r="AP130" s="6"/>
      <c r="AQ130" s="50"/>
      <c r="AR130" s="6"/>
      <c r="AS130" s="6"/>
      <c r="AT130" s="6"/>
      <c r="AU130" s="6"/>
      <c r="AV130" s="7"/>
      <c r="AW130" s="7"/>
      <c r="AX130" s="7"/>
      <c r="AY130" s="7"/>
      <c r="AZ130" s="5"/>
      <c r="BA130" s="5"/>
      <c r="BB130" s="6"/>
      <c r="BC130" s="6"/>
      <c r="BD130" s="6"/>
      <c r="BE130" s="6"/>
      <c r="BF130" s="5"/>
      <c r="BG130" s="5"/>
      <c r="BH130" s="6"/>
      <c r="BI130" s="6"/>
      <c r="BJ130" s="6"/>
      <c r="BK130" s="6"/>
      <c r="BL130" s="6"/>
      <c r="BM130" s="6"/>
      <c r="BN130" s="6"/>
      <c r="BO130" s="6"/>
      <c r="BP130" s="6"/>
      <c r="BQ130" s="6"/>
    </row>
    <row r="131" spans="1:69" ht="31.8" customHeight="1" x14ac:dyDescent="0.3">
      <c r="A131" s="135"/>
      <c r="B131" s="111">
        <v>127</v>
      </c>
      <c r="C131" s="56" t="s">
        <v>210</v>
      </c>
      <c r="D131" s="5" t="s">
        <v>4</v>
      </c>
      <c r="E131" s="5">
        <v>1</v>
      </c>
      <c r="F131" s="15" t="s">
        <v>209</v>
      </c>
      <c r="G131" s="10" t="s">
        <v>615</v>
      </c>
      <c r="H131" s="17">
        <v>949</v>
      </c>
      <c r="I131" s="17">
        <f>H131*E131</f>
        <v>949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5"/>
      <c r="Y131" s="5"/>
      <c r="Z131" s="5"/>
      <c r="AA131" s="5"/>
      <c r="AB131" s="5"/>
      <c r="AC131" s="5"/>
      <c r="AD131" s="20"/>
      <c r="AE131" s="20"/>
      <c r="AF131" s="5"/>
      <c r="AG131" s="5"/>
      <c r="AH131" s="5"/>
      <c r="AI131" s="5"/>
      <c r="AJ131" s="5"/>
      <c r="AK131" s="5"/>
      <c r="AL131" s="5"/>
      <c r="AM131" s="5"/>
      <c r="AN131" s="5"/>
      <c r="AO131" s="45"/>
      <c r="AP131" s="6"/>
      <c r="AQ131" s="50"/>
      <c r="AR131" s="6"/>
      <c r="AS131" s="6"/>
      <c r="AT131" s="6"/>
      <c r="AU131" s="6"/>
      <c r="AV131" s="7"/>
      <c r="AW131" s="7"/>
      <c r="AX131" s="7"/>
      <c r="AY131" s="7"/>
      <c r="AZ131" s="5"/>
      <c r="BA131" s="5"/>
      <c r="BB131" s="6"/>
      <c r="BC131" s="6"/>
      <c r="BD131" s="6"/>
      <c r="BE131" s="6"/>
      <c r="BF131" s="5"/>
      <c r="BG131" s="5"/>
      <c r="BH131" s="6"/>
      <c r="BI131" s="6"/>
      <c r="BJ131" s="6"/>
      <c r="BK131" s="6"/>
      <c r="BL131" s="6"/>
      <c r="BM131" s="6"/>
      <c r="BN131" s="6"/>
      <c r="BO131" s="6"/>
      <c r="BP131" s="6"/>
      <c r="BQ131" s="6"/>
    </row>
    <row r="132" spans="1:69" ht="31.8" customHeight="1" x14ac:dyDescent="0.3">
      <c r="A132" s="135"/>
      <c r="B132" s="63">
        <v>128</v>
      </c>
      <c r="C132" s="56" t="s">
        <v>658</v>
      </c>
      <c r="D132" s="5" t="s">
        <v>4</v>
      </c>
      <c r="E132" s="5">
        <v>5</v>
      </c>
      <c r="F132" s="15" t="s">
        <v>649</v>
      </c>
      <c r="G132" s="10" t="s">
        <v>616</v>
      </c>
      <c r="H132" s="114" t="s">
        <v>994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7">
        <v>21.7</v>
      </c>
      <c r="W132" s="17">
        <f>V132*E132</f>
        <v>108.5</v>
      </c>
      <c r="X132" s="5"/>
      <c r="Y132" s="5"/>
      <c r="Z132" s="5"/>
      <c r="AA132" s="5"/>
      <c r="AB132" s="5"/>
      <c r="AC132" s="5"/>
      <c r="AD132" s="20"/>
      <c r="AE132" s="20"/>
      <c r="AF132" s="5"/>
      <c r="AG132" s="5"/>
      <c r="AH132" s="5"/>
      <c r="AI132" s="5"/>
      <c r="AJ132" s="5"/>
      <c r="AK132" s="5"/>
      <c r="AL132" s="5"/>
      <c r="AM132" s="5"/>
      <c r="AN132" s="5"/>
      <c r="AO132" s="45"/>
      <c r="AP132" s="6"/>
      <c r="AQ132" s="50"/>
      <c r="AR132" s="6"/>
      <c r="AS132" s="6"/>
      <c r="AT132" s="6"/>
      <c r="AU132" s="6"/>
      <c r="AV132" s="7"/>
      <c r="AW132" s="7"/>
      <c r="AX132" s="7"/>
      <c r="AY132" s="7"/>
      <c r="AZ132" s="5"/>
      <c r="BA132" s="5"/>
      <c r="BB132" s="6"/>
      <c r="BC132" s="6"/>
      <c r="BD132" s="6"/>
      <c r="BE132" s="6"/>
      <c r="BF132" s="5"/>
      <c r="BG132" s="5"/>
      <c r="BH132" s="6"/>
      <c r="BI132" s="6"/>
      <c r="BJ132" s="6"/>
      <c r="BK132" s="6"/>
      <c r="BL132" s="6"/>
      <c r="BM132" s="6"/>
      <c r="BN132" s="6"/>
      <c r="BO132" s="6"/>
      <c r="BP132" s="6"/>
      <c r="BQ132" s="6"/>
    </row>
    <row r="133" spans="1:69" ht="31.8" customHeight="1" x14ac:dyDescent="0.3">
      <c r="A133" s="135"/>
      <c r="B133" s="63">
        <v>129</v>
      </c>
      <c r="C133" s="56" t="s">
        <v>211</v>
      </c>
      <c r="D133" s="5" t="s">
        <v>4</v>
      </c>
      <c r="E133" s="5">
        <v>5</v>
      </c>
      <c r="F133" s="15" t="s">
        <v>212</v>
      </c>
      <c r="G133" s="10" t="s">
        <v>616</v>
      </c>
      <c r="H133" s="6"/>
      <c r="I133" s="6"/>
      <c r="J133" s="6"/>
      <c r="K133" s="6"/>
      <c r="L133" s="6"/>
      <c r="M133" s="6"/>
      <c r="N133" s="6"/>
      <c r="O133" s="6"/>
      <c r="P133" s="17">
        <v>26.42</v>
      </c>
      <c r="Q133" s="17">
        <f>P133*E133</f>
        <v>132.10000000000002</v>
      </c>
      <c r="R133" s="6"/>
      <c r="S133" s="6"/>
      <c r="T133" s="6"/>
      <c r="U133" s="6"/>
      <c r="V133" s="6"/>
      <c r="W133" s="6"/>
      <c r="X133" s="5"/>
      <c r="Y133" s="5"/>
      <c r="Z133" s="5"/>
      <c r="AA133" s="5"/>
      <c r="AB133" s="5"/>
      <c r="AC133" s="5"/>
      <c r="AD133" s="20"/>
      <c r="AE133" s="20"/>
      <c r="AF133" s="5"/>
      <c r="AG133" s="5"/>
      <c r="AH133" s="5"/>
      <c r="AI133" s="5"/>
      <c r="AJ133" s="5"/>
      <c r="AK133" s="5"/>
      <c r="AL133" s="5"/>
      <c r="AM133" s="5"/>
      <c r="AN133" s="5"/>
      <c r="AO133" s="45"/>
      <c r="AP133" s="6"/>
      <c r="AQ133" s="50"/>
      <c r="AR133" s="6"/>
      <c r="AS133" s="6"/>
      <c r="AT133" s="6"/>
      <c r="AU133" s="6"/>
      <c r="AV133" s="7"/>
      <c r="AW133" s="7"/>
      <c r="AX133" s="7"/>
      <c r="AY133" s="7"/>
      <c r="AZ133" s="5"/>
      <c r="BA133" s="5"/>
      <c r="BB133" s="6"/>
      <c r="BC133" s="6"/>
      <c r="BD133" s="6"/>
      <c r="BE133" s="6"/>
      <c r="BF133" s="5"/>
      <c r="BG133" s="5"/>
      <c r="BH133" s="6"/>
      <c r="BI133" s="6"/>
      <c r="BJ133" s="6"/>
      <c r="BK133" s="6"/>
      <c r="BL133" s="6"/>
      <c r="BM133" s="6"/>
      <c r="BN133" s="6"/>
      <c r="BO133" s="6"/>
      <c r="BP133" s="6"/>
      <c r="BQ133" s="6"/>
    </row>
    <row r="134" spans="1:69" ht="31.8" customHeight="1" x14ac:dyDescent="0.3">
      <c r="A134" s="135"/>
      <c r="B134" s="63">
        <v>130</v>
      </c>
      <c r="C134" s="56" t="s">
        <v>228</v>
      </c>
      <c r="D134" s="5" t="s">
        <v>4</v>
      </c>
      <c r="E134" s="5">
        <v>10</v>
      </c>
      <c r="F134" s="15" t="s">
        <v>229</v>
      </c>
      <c r="G134" s="10" t="s">
        <v>624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37">
        <v>596.64</v>
      </c>
      <c r="W134" s="37">
        <f>V134*E134</f>
        <v>5966.4</v>
      </c>
      <c r="X134" s="5"/>
      <c r="Y134" s="5"/>
      <c r="Z134" s="5"/>
      <c r="AA134" s="5"/>
      <c r="AB134" s="5"/>
      <c r="AC134" s="5"/>
      <c r="AD134" s="20"/>
      <c r="AE134" s="20"/>
      <c r="AF134" s="5"/>
      <c r="AG134" s="5"/>
      <c r="AH134" s="5"/>
      <c r="AI134" s="5"/>
      <c r="AJ134" s="5"/>
      <c r="AK134" s="5"/>
      <c r="AL134" s="5"/>
      <c r="AM134" s="5"/>
      <c r="AN134" s="5"/>
      <c r="AO134" s="45"/>
      <c r="AP134" s="6"/>
      <c r="AQ134" s="50"/>
      <c r="AR134" s="6"/>
      <c r="AS134" s="6"/>
      <c r="AT134" s="6"/>
      <c r="AU134" s="6"/>
      <c r="AV134" s="7"/>
      <c r="AW134" s="7"/>
      <c r="AX134" s="7"/>
      <c r="AY134" s="7"/>
      <c r="AZ134" s="5"/>
      <c r="BA134" s="5"/>
      <c r="BB134" s="6"/>
      <c r="BC134" s="6"/>
      <c r="BD134" s="6"/>
      <c r="BE134" s="6"/>
      <c r="BF134" s="5"/>
      <c r="BG134" s="5"/>
      <c r="BH134" s="6"/>
      <c r="BI134" s="6"/>
      <c r="BJ134" s="6"/>
      <c r="BK134" s="6"/>
      <c r="BL134" s="6"/>
      <c r="BM134" s="6"/>
      <c r="BN134" s="6"/>
      <c r="BO134" s="6"/>
      <c r="BP134" s="6"/>
      <c r="BQ134" s="6"/>
    </row>
    <row r="135" spans="1:69" ht="72" x14ac:dyDescent="0.3">
      <c r="A135" s="135"/>
      <c r="B135" s="63">
        <v>131</v>
      </c>
      <c r="C135" s="57" t="s">
        <v>552</v>
      </c>
      <c r="D135" s="5" t="s">
        <v>4</v>
      </c>
      <c r="E135" s="5">
        <v>10</v>
      </c>
      <c r="F135" s="15" t="s">
        <v>553</v>
      </c>
      <c r="G135" s="10" t="s">
        <v>624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17">
        <v>227.72</v>
      </c>
      <c r="U135" s="17">
        <f>T135*E135</f>
        <v>2277.1999999999998</v>
      </c>
      <c r="V135" s="6"/>
      <c r="W135" s="6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6"/>
      <c r="AQ135" s="6"/>
      <c r="AR135" s="6"/>
      <c r="AS135" s="6"/>
      <c r="AT135" s="6"/>
      <c r="AU135" s="6"/>
      <c r="AV135" s="7"/>
      <c r="AW135" s="7"/>
      <c r="AX135" s="7"/>
      <c r="AY135" s="7"/>
      <c r="AZ135" s="5"/>
      <c r="BA135" s="5"/>
      <c r="BB135" s="6"/>
      <c r="BC135" s="6"/>
      <c r="BD135" s="6"/>
      <c r="BE135" s="6"/>
      <c r="BF135" s="5"/>
      <c r="BG135" s="5"/>
      <c r="BH135" s="6"/>
      <c r="BI135" s="6"/>
      <c r="BJ135" s="6"/>
      <c r="BK135" s="6"/>
      <c r="BL135" s="6"/>
      <c r="BM135" s="6"/>
      <c r="BN135" s="6"/>
      <c r="BO135" s="6"/>
      <c r="BP135" s="6"/>
      <c r="BQ135" s="6"/>
    </row>
    <row r="136" spans="1:69" ht="43.2" x14ac:dyDescent="0.3">
      <c r="A136" s="135"/>
      <c r="B136" s="63">
        <v>132</v>
      </c>
      <c r="C136" s="57" t="s">
        <v>660</v>
      </c>
      <c r="D136" s="5" t="s">
        <v>4</v>
      </c>
      <c r="E136" s="5">
        <v>4</v>
      </c>
      <c r="F136" s="15" t="s">
        <v>659</v>
      </c>
      <c r="G136" s="10" t="s">
        <v>661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8"/>
      <c r="U136" s="68"/>
      <c r="V136" s="6"/>
      <c r="W136" s="6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6"/>
      <c r="AQ136" s="6"/>
      <c r="AR136" s="6"/>
      <c r="AS136" s="6"/>
      <c r="AT136" s="6"/>
      <c r="AU136" s="6"/>
      <c r="AV136" s="7"/>
      <c r="AW136" s="7"/>
      <c r="AX136" s="7"/>
      <c r="AY136" s="7"/>
      <c r="AZ136" s="5"/>
      <c r="BA136" s="5"/>
      <c r="BB136" s="6"/>
      <c r="BC136" s="6"/>
      <c r="BD136" s="6"/>
      <c r="BE136" s="6"/>
      <c r="BF136" s="5"/>
      <c r="BG136" s="5"/>
      <c r="BH136" s="17">
        <v>350</v>
      </c>
      <c r="BI136" s="17">
        <f>BH136*E136</f>
        <v>1400</v>
      </c>
      <c r="BJ136" s="6"/>
      <c r="BK136" s="6"/>
      <c r="BL136" s="6"/>
      <c r="BM136" s="6"/>
      <c r="BN136" s="6"/>
      <c r="BO136" s="6"/>
      <c r="BP136" s="6"/>
      <c r="BQ136" s="6"/>
    </row>
    <row r="137" spans="1:69" ht="31.8" customHeight="1" x14ac:dyDescent="0.3">
      <c r="A137" s="135"/>
      <c r="B137" s="63">
        <v>133</v>
      </c>
      <c r="C137" s="56" t="s">
        <v>230</v>
      </c>
      <c r="D137" s="5" t="s">
        <v>4</v>
      </c>
      <c r="E137" s="5">
        <v>4</v>
      </c>
      <c r="F137" s="15" t="s">
        <v>231</v>
      </c>
      <c r="G137" s="10" t="s">
        <v>624</v>
      </c>
      <c r="H137" s="114" t="s">
        <v>1001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41">
        <v>732.24</v>
      </c>
      <c r="W137" s="41">
        <f>V137*E137</f>
        <v>2928.96</v>
      </c>
      <c r="X137" s="5"/>
      <c r="Y137" s="5"/>
      <c r="Z137" s="5"/>
      <c r="AA137" s="5"/>
      <c r="AB137" s="5"/>
      <c r="AC137" s="5"/>
      <c r="AD137" s="20"/>
      <c r="AE137" s="20"/>
      <c r="AF137" s="5"/>
      <c r="AG137" s="5"/>
      <c r="AH137" s="5"/>
      <c r="AI137" s="5"/>
      <c r="AJ137" s="5"/>
      <c r="AK137" s="5"/>
      <c r="AL137" s="5"/>
      <c r="AM137" s="5"/>
      <c r="AN137" s="5"/>
      <c r="AO137" s="45"/>
      <c r="AP137" s="6"/>
      <c r="AQ137" s="50"/>
      <c r="AR137" s="6"/>
      <c r="AS137" s="6"/>
      <c r="AT137" s="6"/>
      <c r="AU137" s="6"/>
      <c r="AV137" s="7"/>
      <c r="AW137" s="7"/>
      <c r="AX137" s="7"/>
      <c r="AY137" s="7"/>
      <c r="AZ137" s="5"/>
      <c r="BA137" s="5"/>
      <c r="BB137" s="6"/>
      <c r="BC137" s="6"/>
      <c r="BD137" s="6"/>
      <c r="BE137" s="6"/>
      <c r="BF137" s="5"/>
      <c r="BG137" s="5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 spans="1:69" ht="31.8" customHeight="1" x14ac:dyDescent="0.3">
      <c r="A138" s="135"/>
      <c r="B138" s="63">
        <v>134</v>
      </c>
      <c r="C138" s="55" t="s">
        <v>233</v>
      </c>
      <c r="D138" s="25" t="s">
        <v>4</v>
      </c>
      <c r="E138" s="25">
        <v>7</v>
      </c>
      <c r="F138" s="14" t="s">
        <v>232</v>
      </c>
      <c r="G138" s="16" t="s">
        <v>617</v>
      </c>
      <c r="H138" s="115" t="s">
        <v>998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65">
        <v>261.19</v>
      </c>
      <c r="U138" s="65">
        <f>T138*E138</f>
        <v>1828.33</v>
      </c>
      <c r="V138" s="28"/>
      <c r="W138" s="28"/>
      <c r="X138" s="25"/>
      <c r="Y138" s="25"/>
      <c r="Z138" s="25"/>
      <c r="AA138" s="25"/>
      <c r="AB138" s="25"/>
      <c r="AC138" s="25"/>
      <c r="AD138" s="29"/>
      <c r="AE138" s="29"/>
      <c r="AF138" s="25"/>
      <c r="AG138" s="25"/>
      <c r="AH138" s="25"/>
      <c r="AI138" s="25"/>
      <c r="AJ138" s="25"/>
      <c r="AK138" s="25"/>
      <c r="AL138" s="25"/>
      <c r="AM138" s="25"/>
      <c r="AN138" s="25"/>
      <c r="AO138" s="46"/>
      <c r="AP138" s="28"/>
      <c r="AQ138" s="66"/>
      <c r="AR138" s="28"/>
      <c r="AS138" s="28"/>
      <c r="AT138" s="28"/>
      <c r="AU138" s="28"/>
      <c r="AV138" s="54"/>
      <c r="AW138" s="54"/>
      <c r="AX138" s="54"/>
      <c r="AY138" s="54"/>
      <c r="AZ138" s="25"/>
      <c r="BA138" s="25"/>
      <c r="BB138" s="28"/>
      <c r="BC138" s="28"/>
      <c r="BD138" s="28"/>
      <c r="BE138" s="28"/>
      <c r="BF138" s="25"/>
      <c r="BG138" s="25"/>
      <c r="BH138" s="28"/>
      <c r="BI138" s="28"/>
      <c r="BJ138" s="6"/>
      <c r="BK138" s="6"/>
      <c r="BL138" s="6"/>
      <c r="BM138" s="6"/>
      <c r="BN138" s="6"/>
      <c r="BO138" s="6"/>
      <c r="BP138" s="6"/>
      <c r="BQ138" s="6"/>
    </row>
    <row r="139" spans="1:69" ht="28.8" x14ac:dyDescent="0.3">
      <c r="A139" s="135"/>
      <c r="B139" s="63">
        <v>135</v>
      </c>
      <c r="C139" s="57" t="s">
        <v>678</v>
      </c>
      <c r="D139" s="5" t="s">
        <v>4</v>
      </c>
      <c r="E139" s="5">
        <v>2</v>
      </c>
      <c r="F139" s="15" t="s">
        <v>679</v>
      </c>
      <c r="G139" s="10" t="s">
        <v>617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17">
        <v>1030.56</v>
      </c>
      <c r="Y139" s="17">
        <f>X139*E139</f>
        <v>2061.12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6"/>
      <c r="AQ139" s="6"/>
      <c r="AR139" s="6"/>
      <c r="AS139" s="6"/>
      <c r="AT139" s="6"/>
      <c r="AU139" s="6"/>
      <c r="AV139" s="7"/>
      <c r="AW139" s="7"/>
      <c r="AX139" s="7"/>
      <c r="AY139" s="7"/>
      <c r="AZ139" s="5"/>
      <c r="BA139" s="5"/>
      <c r="BB139" s="6"/>
      <c r="BC139" s="6"/>
      <c r="BD139" s="6"/>
      <c r="BE139" s="6"/>
      <c r="BF139" s="5"/>
      <c r="BG139" s="5"/>
      <c r="BH139" s="6"/>
      <c r="BI139" s="6"/>
      <c r="BJ139" s="6"/>
      <c r="BK139" s="6"/>
      <c r="BL139" s="6"/>
      <c r="BM139" s="6"/>
      <c r="BN139" s="6"/>
      <c r="BO139" s="6"/>
      <c r="BP139" s="6"/>
      <c r="BQ139" s="6"/>
    </row>
    <row r="140" spans="1:69" ht="72" customHeight="1" x14ac:dyDescent="0.3">
      <c r="A140" s="135"/>
      <c r="B140" s="63">
        <v>136</v>
      </c>
      <c r="C140" s="56" t="s">
        <v>681</v>
      </c>
      <c r="D140" s="38" t="s">
        <v>4</v>
      </c>
      <c r="E140" s="38">
        <v>3</v>
      </c>
      <c r="F140" s="15" t="s">
        <v>680</v>
      </c>
      <c r="G140" s="39" t="s">
        <v>618</v>
      </c>
      <c r="H140" s="40"/>
      <c r="I140" s="40"/>
      <c r="J140" s="40"/>
      <c r="K140" s="40"/>
      <c r="L140" s="40"/>
      <c r="M140" s="40"/>
      <c r="N140" s="88"/>
      <c r="O140" s="88"/>
      <c r="P140" s="40"/>
      <c r="Q140" s="40"/>
      <c r="R140" s="40"/>
      <c r="S140" s="40"/>
      <c r="T140" s="40"/>
      <c r="U140" s="40"/>
      <c r="V140" s="40"/>
      <c r="W140" s="40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49"/>
      <c r="AP140" s="6"/>
      <c r="AQ140" s="50"/>
      <c r="AR140" s="6"/>
      <c r="AS140" s="6"/>
      <c r="AT140" s="6"/>
      <c r="AU140" s="6"/>
      <c r="AV140" s="7"/>
      <c r="AW140" s="7"/>
      <c r="AX140" s="7"/>
      <c r="AY140" s="7"/>
      <c r="AZ140" s="5"/>
      <c r="BA140" s="5"/>
      <c r="BB140" s="6"/>
      <c r="BC140" s="6"/>
      <c r="BD140" s="6"/>
      <c r="BE140" s="6"/>
      <c r="BF140" s="5"/>
      <c r="BG140" s="5"/>
      <c r="BH140" s="6"/>
      <c r="BI140" s="6"/>
      <c r="BJ140" s="17">
        <v>702</v>
      </c>
      <c r="BK140" s="17">
        <f>BJ140*E140</f>
        <v>2106</v>
      </c>
      <c r="BL140" s="6"/>
      <c r="BM140" s="6"/>
      <c r="BN140" s="6"/>
      <c r="BO140" s="6"/>
      <c r="BP140" s="6"/>
      <c r="BQ140" s="6"/>
    </row>
    <row r="141" spans="1:69" ht="31.8" customHeight="1" x14ac:dyDescent="0.3">
      <c r="A141" s="135"/>
      <c r="B141" s="63">
        <v>137</v>
      </c>
      <c r="C141" s="56" t="s">
        <v>234</v>
      </c>
      <c r="D141" s="38" t="s">
        <v>4</v>
      </c>
      <c r="E141" s="38">
        <v>10</v>
      </c>
      <c r="F141" s="15" t="s">
        <v>235</v>
      </c>
      <c r="G141" s="67" t="s">
        <v>617</v>
      </c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37">
        <v>100.97</v>
      </c>
      <c r="U141" s="37">
        <f>T141*E141</f>
        <v>1009.7</v>
      </c>
      <c r="V141" s="40"/>
      <c r="W141" s="40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49"/>
      <c r="AP141" s="6"/>
      <c r="AQ141" s="50"/>
      <c r="AR141" s="6"/>
      <c r="AS141" s="6"/>
      <c r="AT141" s="6"/>
      <c r="AU141" s="6"/>
      <c r="AV141" s="7"/>
      <c r="AW141" s="7"/>
      <c r="AX141" s="7"/>
      <c r="AY141" s="7"/>
      <c r="AZ141" s="5"/>
      <c r="BA141" s="5"/>
      <c r="BB141" s="6"/>
      <c r="BC141" s="6"/>
      <c r="BD141" s="6"/>
      <c r="BE141" s="6"/>
      <c r="BF141" s="5"/>
      <c r="BG141" s="5"/>
      <c r="BH141" s="6"/>
      <c r="BI141" s="6"/>
      <c r="BJ141" s="6"/>
      <c r="BK141" s="6"/>
      <c r="BL141" s="6"/>
      <c r="BM141" s="6"/>
      <c r="BN141" s="6"/>
      <c r="BO141" s="6"/>
      <c r="BP141" s="6"/>
      <c r="BQ141" s="6"/>
    </row>
    <row r="142" spans="1:69" ht="31.8" customHeight="1" x14ac:dyDescent="0.3">
      <c r="A142" s="135"/>
      <c r="B142" s="64">
        <v>138</v>
      </c>
      <c r="C142" s="56" t="s">
        <v>236</v>
      </c>
      <c r="D142" s="38" t="s">
        <v>4</v>
      </c>
      <c r="E142" s="38">
        <v>2</v>
      </c>
      <c r="F142" s="15" t="s">
        <v>237</v>
      </c>
      <c r="G142" s="39" t="s">
        <v>618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37">
        <v>402.22</v>
      </c>
      <c r="U142" s="37">
        <f>T142*E142</f>
        <v>804.44</v>
      </c>
      <c r="V142" s="40"/>
      <c r="W142" s="40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49"/>
      <c r="AP142" s="6"/>
      <c r="AQ142" s="50"/>
      <c r="AR142" s="6"/>
      <c r="AS142" s="6"/>
      <c r="AT142" s="6"/>
      <c r="AU142" s="6"/>
      <c r="AV142" s="7"/>
      <c r="AW142" s="7"/>
      <c r="AX142" s="7"/>
      <c r="AY142" s="7"/>
      <c r="AZ142" s="5"/>
      <c r="BA142" s="5"/>
      <c r="BB142" s="6"/>
      <c r="BC142" s="6"/>
      <c r="BD142" s="6"/>
      <c r="BE142" s="6"/>
      <c r="BF142" s="5"/>
      <c r="BG142" s="5"/>
      <c r="BH142" s="6"/>
      <c r="BI142" s="6"/>
      <c r="BJ142" s="6"/>
      <c r="BK142" s="6"/>
      <c r="BL142" s="6"/>
      <c r="BM142" s="6"/>
      <c r="BN142" s="6"/>
      <c r="BO142" s="6"/>
      <c r="BP142" s="6"/>
      <c r="BQ142" s="6"/>
    </row>
    <row r="143" spans="1:69" ht="31.8" customHeight="1" x14ac:dyDescent="0.3">
      <c r="A143" s="135"/>
      <c r="B143" s="63">
        <v>139</v>
      </c>
      <c r="C143" s="56" t="s">
        <v>238</v>
      </c>
      <c r="D143" s="5" t="s">
        <v>4</v>
      </c>
      <c r="E143" s="5">
        <v>3</v>
      </c>
      <c r="F143" s="15" t="s">
        <v>239</v>
      </c>
      <c r="G143" s="10" t="s">
        <v>617</v>
      </c>
      <c r="H143" s="6"/>
      <c r="I143" s="6"/>
      <c r="J143" s="6"/>
      <c r="K143" s="6"/>
      <c r="L143" s="6"/>
      <c r="M143" s="6"/>
      <c r="N143" s="6"/>
      <c r="O143" s="6"/>
      <c r="P143" s="37">
        <v>134.80000000000001</v>
      </c>
      <c r="Q143" s="37">
        <f>P143*E143</f>
        <v>404.40000000000003</v>
      </c>
      <c r="R143" s="6"/>
      <c r="S143" s="6"/>
      <c r="T143" s="6"/>
      <c r="U143" s="6"/>
      <c r="V143" s="6"/>
      <c r="W143" s="6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45"/>
      <c r="AP143" s="6"/>
      <c r="AQ143" s="50"/>
      <c r="AR143" s="6"/>
      <c r="AS143" s="6"/>
      <c r="AT143" s="6"/>
      <c r="AU143" s="6"/>
      <c r="AV143" s="7"/>
      <c r="AW143" s="7"/>
      <c r="AX143" s="7"/>
      <c r="AY143" s="7"/>
      <c r="AZ143" s="5"/>
      <c r="BA143" s="5"/>
      <c r="BB143" s="6"/>
      <c r="BC143" s="6"/>
      <c r="BD143" s="6"/>
      <c r="BE143" s="6"/>
      <c r="BF143" s="5"/>
      <c r="BG143" s="5"/>
      <c r="BH143" s="6"/>
      <c r="BI143" s="6"/>
      <c r="BJ143" s="6"/>
      <c r="BK143" s="6"/>
      <c r="BL143" s="6"/>
      <c r="BM143" s="6"/>
      <c r="BN143" s="6"/>
      <c r="BO143" s="6"/>
      <c r="BP143" s="6"/>
      <c r="BQ143" s="6"/>
    </row>
    <row r="144" spans="1:69" ht="31.8" customHeight="1" x14ac:dyDescent="0.3">
      <c r="A144" s="135"/>
      <c r="B144" s="63">
        <v>140</v>
      </c>
      <c r="C144" s="55" t="s">
        <v>240</v>
      </c>
      <c r="D144" s="5" t="s">
        <v>4</v>
      </c>
      <c r="E144" s="5">
        <v>5</v>
      </c>
      <c r="F144" s="15" t="s">
        <v>241</v>
      </c>
      <c r="G144" s="10" t="s">
        <v>620</v>
      </c>
      <c r="H144" s="6"/>
      <c r="I144" s="6"/>
      <c r="J144" s="6"/>
      <c r="K144" s="6"/>
      <c r="L144" s="6"/>
      <c r="M144" s="6"/>
      <c r="N144" s="6"/>
      <c r="O144" s="6"/>
      <c r="P144" s="37">
        <v>53.92</v>
      </c>
      <c r="Q144" s="37">
        <f>P144*E144</f>
        <v>269.60000000000002</v>
      </c>
      <c r="R144" s="6"/>
      <c r="S144" s="6"/>
      <c r="T144" s="6"/>
      <c r="U144" s="6"/>
      <c r="V144" s="6"/>
      <c r="W144" s="6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45"/>
      <c r="AP144" s="6"/>
      <c r="AQ144" s="50"/>
      <c r="AR144" s="6"/>
      <c r="AS144" s="6"/>
      <c r="AT144" s="6"/>
      <c r="AU144" s="6"/>
      <c r="AV144" s="7"/>
      <c r="AW144" s="7"/>
      <c r="AX144" s="7"/>
      <c r="AY144" s="7"/>
      <c r="AZ144" s="5"/>
      <c r="BA144" s="5"/>
      <c r="BB144" s="6"/>
      <c r="BC144" s="6"/>
      <c r="BD144" s="6"/>
      <c r="BE144" s="6"/>
      <c r="BF144" s="5"/>
      <c r="BG144" s="5"/>
      <c r="BH144" s="6"/>
      <c r="BI144" s="6"/>
      <c r="BJ144" s="6"/>
      <c r="BK144" s="6"/>
      <c r="BL144" s="6"/>
      <c r="BM144" s="6"/>
      <c r="BN144" s="6"/>
      <c r="BO144" s="6"/>
      <c r="BP144" s="6"/>
      <c r="BQ144" s="6"/>
    </row>
    <row r="145" spans="1:69" ht="31.8" customHeight="1" x14ac:dyDescent="0.3">
      <c r="A145" s="135"/>
      <c r="B145" s="63">
        <v>141</v>
      </c>
      <c r="C145" s="56" t="s">
        <v>242</v>
      </c>
      <c r="D145" s="5" t="s">
        <v>4</v>
      </c>
      <c r="E145" s="5">
        <v>5</v>
      </c>
      <c r="F145" s="15" t="s">
        <v>243</v>
      </c>
      <c r="G145" s="10" t="s">
        <v>617</v>
      </c>
      <c r="H145" s="114" t="s">
        <v>1001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37">
        <v>40.68</v>
      </c>
      <c r="W145" s="37">
        <f>V145*E145</f>
        <v>203.4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45"/>
      <c r="AP145" s="6"/>
      <c r="AQ145" s="50"/>
      <c r="AR145" s="6"/>
      <c r="AS145" s="6"/>
      <c r="AT145" s="6"/>
      <c r="AU145" s="6"/>
      <c r="AV145" s="7"/>
      <c r="AW145" s="7"/>
      <c r="AX145" s="7"/>
      <c r="AY145" s="7"/>
      <c r="AZ145" s="5"/>
      <c r="BA145" s="5"/>
      <c r="BB145" s="6"/>
      <c r="BC145" s="6"/>
      <c r="BD145" s="6"/>
      <c r="BE145" s="6"/>
      <c r="BF145" s="5"/>
      <c r="BG145" s="5"/>
      <c r="BH145" s="6"/>
      <c r="BI145" s="6"/>
      <c r="BJ145" s="6"/>
      <c r="BK145" s="6"/>
      <c r="BL145" s="6"/>
      <c r="BM145" s="6"/>
      <c r="BN145" s="6"/>
      <c r="BO145" s="6"/>
      <c r="BP145" s="6"/>
      <c r="BQ145" s="6"/>
    </row>
    <row r="146" spans="1:69" ht="31.8" customHeight="1" x14ac:dyDescent="0.3">
      <c r="A146" s="135"/>
      <c r="B146" s="63">
        <v>142</v>
      </c>
      <c r="C146" s="55" t="s">
        <v>244</v>
      </c>
      <c r="D146" s="5" t="s">
        <v>4</v>
      </c>
      <c r="E146" s="5">
        <v>10</v>
      </c>
      <c r="F146" s="15" t="s">
        <v>245</v>
      </c>
      <c r="G146" s="8" t="s">
        <v>619</v>
      </c>
      <c r="H146" s="6"/>
      <c r="I146" s="6"/>
      <c r="J146" s="6"/>
      <c r="K146" s="6"/>
      <c r="L146" s="6"/>
      <c r="M146" s="6"/>
      <c r="N146" s="6"/>
      <c r="O146" s="6"/>
      <c r="P146" s="37">
        <v>10.78</v>
      </c>
      <c r="Q146" s="37">
        <f>P146*E146</f>
        <v>107.8</v>
      </c>
      <c r="R146" s="6"/>
      <c r="S146" s="6"/>
      <c r="T146" s="6"/>
      <c r="U146" s="6"/>
      <c r="V146" s="6"/>
      <c r="W146" s="6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45"/>
      <c r="AP146" s="6"/>
      <c r="AQ146" s="50"/>
      <c r="AR146" s="6"/>
      <c r="AS146" s="6"/>
      <c r="AT146" s="6"/>
      <c r="AU146" s="6"/>
      <c r="AV146" s="7"/>
      <c r="AW146" s="7"/>
      <c r="AX146" s="7"/>
      <c r="AY146" s="7"/>
      <c r="AZ146" s="5"/>
      <c r="BA146" s="5"/>
      <c r="BB146" s="6"/>
      <c r="BC146" s="6"/>
      <c r="BD146" s="6"/>
      <c r="BE146" s="6"/>
      <c r="BF146" s="5"/>
      <c r="BG146" s="5"/>
      <c r="BH146" s="6"/>
      <c r="BI146" s="6"/>
      <c r="BJ146" s="6"/>
      <c r="BK146" s="6"/>
      <c r="BL146" s="6"/>
      <c r="BM146" s="6"/>
      <c r="BN146" s="6"/>
      <c r="BO146" s="6"/>
      <c r="BP146" s="6"/>
      <c r="BQ146" s="6"/>
    </row>
    <row r="147" spans="1:69" ht="31.8" customHeight="1" x14ac:dyDescent="0.3">
      <c r="A147" s="135"/>
      <c r="B147" s="63">
        <v>143</v>
      </c>
      <c r="C147" s="56" t="s">
        <v>246</v>
      </c>
      <c r="D147" s="5" t="s">
        <v>4</v>
      </c>
      <c r="E147" s="5">
        <v>5</v>
      </c>
      <c r="F147" s="15" t="s">
        <v>247</v>
      </c>
      <c r="G147" s="10" t="s">
        <v>621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37">
        <v>13.56</v>
      </c>
      <c r="W147" s="37">
        <f>V147*E147</f>
        <v>67.8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45"/>
      <c r="AP147" s="6"/>
      <c r="AQ147" s="50"/>
      <c r="AR147" s="6"/>
      <c r="AS147" s="6"/>
      <c r="AT147" s="6"/>
      <c r="AU147" s="6"/>
      <c r="AV147" s="7"/>
      <c r="AW147" s="7"/>
      <c r="AX147" s="7"/>
      <c r="AY147" s="7"/>
      <c r="AZ147" s="5"/>
      <c r="BA147" s="5"/>
      <c r="BB147" s="6"/>
      <c r="BC147" s="6"/>
      <c r="BD147" s="6"/>
      <c r="BE147" s="6"/>
      <c r="BF147" s="5"/>
      <c r="BG147" s="5"/>
      <c r="BH147" s="6"/>
      <c r="BI147" s="6"/>
      <c r="BJ147" s="6"/>
      <c r="BK147" s="6"/>
      <c r="BL147" s="6"/>
      <c r="BM147" s="6"/>
      <c r="BN147" s="6"/>
      <c r="BO147" s="6"/>
      <c r="BP147" s="6"/>
      <c r="BQ147" s="6"/>
    </row>
    <row r="148" spans="1:69" ht="28.8" x14ac:dyDescent="0.3">
      <c r="A148" s="135"/>
      <c r="B148" s="63">
        <v>144</v>
      </c>
      <c r="C148" s="56" t="s">
        <v>254</v>
      </c>
      <c r="D148" s="5" t="s">
        <v>4</v>
      </c>
      <c r="E148" s="5">
        <v>6</v>
      </c>
      <c r="F148" s="15" t="s">
        <v>255</v>
      </c>
      <c r="G148" s="8" t="s">
        <v>624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37">
        <v>703.9</v>
      </c>
      <c r="AI148" s="37">
        <f>AH148*E148</f>
        <v>4223.3999999999996</v>
      </c>
      <c r="AJ148" s="5"/>
      <c r="AK148" s="5"/>
      <c r="AL148" s="5"/>
      <c r="AM148" s="5"/>
      <c r="AN148" s="5"/>
      <c r="AO148" s="45"/>
      <c r="AP148" s="6"/>
      <c r="AQ148" s="50"/>
      <c r="AR148" s="6"/>
      <c r="AS148" s="6"/>
      <c r="AT148" s="6"/>
      <c r="AU148" s="6"/>
      <c r="AV148" s="7"/>
      <c r="AW148" s="7"/>
      <c r="AX148" s="7"/>
      <c r="AY148" s="7"/>
      <c r="AZ148" s="5"/>
      <c r="BA148" s="5"/>
      <c r="BB148" s="6"/>
      <c r="BC148" s="6"/>
      <c r="BD148" s="6"/>
      <c r="BE148" s="6"/>
      <c r="BF148" s="5"/>
      <c r="BG148" s="5"/>
      <c r="BH148" s="6"/>
      <c r="BI148" s="6"/>
      <c r="BJ148" s="6"/>
      <c r="BK148" s="6"/>
      <c r="BL148" s="6"/>
      <c r="BM148" s="6"/>
      <c r="BN148" s="6"/>
      <c r="BO148" s="6"/>
      <c r="BP148" s="6"/>
      <c r="BQ148" s="6"/>
    </row>
    <row r="149" spans="1:69" ht="28.8" x14ac:dyDescent="0.3">
      <c r="A149" s="135"/>
      <c r="B149" s="63">
        <v>145</v>
      </c>
      <c r="C149" s="55" t="s">
        <v>257</v>
      </c>
      <c r="D149" s="25" t="s">
        <v>4</v>
      </c>
      <c r="E149" s="25">
        <v>5</v>
      </c>
      <c r="F149" s="14" t="s">
        <v>258</v>
      </c>
      <c r="G149" s="26" t="s">
        <v>624</v>
      </c>
      <c r="H149" s="28"/>
      <c r="I149" s="28"/>
      <c r="J149" s="28"/>
      <c r="K149" s="28"/>
      <c r="L149" s="28"/>
      <c r="M149" s="28"/>
      <c r="N149" s="28"/>
      <c r="O149" s="28"/>
      <c r="P149" s="65">
        <v>226.47</v>
      </c>
      <c r="Q149" s="65">
        <f>P149*E149</f>
        <v>1132.3499999999999</v>
      </c>
      <c r="R149" s="28"/>
      <c r="S149" s="28"/>
      <c r="T149" s="28"/>
      <c r="U149" s="28"/>
      <c r="V149" s="28"/>
      <c r="W149" s="28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46"/>
      <c r="AP149" s="28"/>
      <c r="AQ149" s="66"/>
      <c r="AR149" s="28"/>
      <c r="AS149" s="28"/>
      <c r="AT149" s="28"/>
      <c r="AU149" s="28"/>
      <c r="AV149" s="54"/>
      <c r="AW149" s="54"/>
      <c r="AX149" s="54"/>
      <c r="AY149" s="54"/>
      <c r="AZ149" s="25"/>
      <c r="BA149" s="25"/>
      <c r="BB149" s="28"/>
      <c r="BC149" s="28"/>
      <c r="BD149" s="28"/>
      <c r="BE149" s="28"/>
      <c r="BF149" s="25"/>
      <c r="BG149" s="25"/>
      <c r="BH149" s="6"/>
      <c r="BI149" s="6"/>
      <c r="BJ149" s="6"/>
      <c r="BK149" s="6"/>
      <c r="BL149" s="6"/>
      <c r="BM149" s="6"/>
      <c r="BN149" s="6"/>
      <c r="BO149" s="6"/>
      <c r="BP149" s="6"/>
      <c r="BQ149" s="6"/>
    </row>
    <row r="150" spans="1:69" ht="115.2" x14ac:dyDescent="0.3">
      <c r="A150" s="135"/>
      <c r="B150" s="63">
        <v>146</v>
      </c>
      <c r="C150" s="57" t="s">
        <v>610</v>
      </c>
      <c r="D150" s="5" t="s">
        <v>4</v>
      </c>
      <c r="E150" s="5">
        <v>1</v>
      </c>
      <c r="F150" s="15" t="s">
        <v>609</v>
      </c>
      <c r="G150" s="10" t="s">
        <v>613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6"/>
      <c r="AQ150" s="6"/>
      <c r="AR150" s="6"/>
      <c r="AS150" s="6"/>
      <c r="AT150" s="6"/>
      <c r="AU150" s="6"/>
      <c r="AV150" s="7"/>
      <c r="AW150" s="7"/>
      <c r="AX150" s="7"/>
      <c r="AY150" s="7"/>
      <c r="AZ150" s="5"/>
      <c r="BA150" s="5"/>
      <c r="BB150" s="6"/>
      <c r="BC150" s="6"/>
      <c r="BD150" s="6"/>
      <c r="BE150" s="6"/>
      <c r="BF150" s="17">
        <v>495</v>
      </c>
      <c r="BG150" s="17">
        <f>BF150*E150</f>
        <v>495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</row>
    <row r="151" spans="1:69" ht="43.2" x14ac:dyDescent="0.3">
      <c r="A151" s="135"/>
      <c r="B151" s="111">
        <v>147</v>
      </c>
      <c r="C151" s="57" t="s">
        <v>717</v>
      </c>
      <c r="D151" s="5" t="s">
        <v>4</v>
      </c>
      <c r="E151" s="5">
        <v>2</v>
      </c>
      <c r="F151" s="15" t="s">
        <v>720</v>
      </c>
      <c r="G151" s="10" t="s">
        <v>718</v>
      </c>
      <c r="H151" s="17">
        <v>161</v>
      </c>
      <c r="I151" s="17">
        <f>H151*E151</f>
        <v>322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6"/>
      <c r="AQ151" s="6"/>
      <c r="AR151" s="6"/>
      <c r="AS151" s="6"/>
      <c r="AT151" s="6"/>
      <c r="AU151" s="6"/>
      <c r="AV151" s="7"/>
      <c r="AW151" s="7"/>
      <c r="AX151" s="7"/>
      <c r="AY151" s="7"/>
      <c r="AZ151" s="5"/>
      <c r="BA151" s="5"/>
      <c r="BB151" s="6"/>
      <c r="BC151" s="6"/>
      <c r="BD151" s="6"/>
      <c r="BE151" s="6"/>
      <c r="BF151" s="5"/>
      <c r="BG151" s="5"/>
      <c r="BH151" s="6"/>
      <c r="BI151" s="6"/>
      <c r="BJ151" s="6"/>
      <c r="BK151" s="6"/>
      <c r="BL151" s="6"/>
      <c r="BM151" s="6"/>
      <c r="BN151" s="6"/>
      <c r="BO151" s="6"/>
      <c r="BP151" s="6"/>
      <c r="BQ151" s="6"/>
    </row>
    <row r="152" spans="1:69" ht="28.8" x14ac:dyDescent="0.3">
      <c r="A152" s="135"/>
      <c r="B152" s="63">
        <v>148</v>
      </c>
      <c r="C152" s="57" t="s">
        <v>719</v>
      </c>
      <c r="D152" s="5" t="s">
        <v>4</v>
      </c>
      <c r="E152" s="5">
        <v>2</v>
      </c>
      <c r="F152" s="15" t="s">
        <v>721</v>
      </c>
      <c r="G152" s="10" t="s">
        <v>718</v>
      </c>
      <c r="H152" s="6"/>
      <c r="I152" s="6"/>
      <c r="J152" s="6"/>
      <c r="K152" s="6"/>
      <c r="L152" s="6"/>
      <c r="M152" s="6"/>
      <c r="N152" s="6"/>
      <c r="O152" s="6"/>
      <c r="P152" s="17">
        <v>377.45</v>
      </c>
      <c r="Q152" s="17">
        <f>P152*E152</f>
        <v>754.9</v>
      </c>
      <c r="R152" s="6"/>
      <c r="S152" s="6"/>
      <c r="T152" s="68"/>
      <c r="U152" s="68"/>
      <c r="V152" s="6"/>
      <c r="W152" s="6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6"/>
      <c r="AQ152" s="6"/>
      <c r="AR152" s="6"/>
      <c r="AS152" s="6"/>
      <c r="AT152" s="6"/>
      <c r="AU152" s="6"/>
      <c r="AV152" s="7"/>
      <c r="AW152" s="7"/>
      <c r="AX152" s="7"/>
      <c r="AY152" s="7"/>
      <c r="AZ152" s="5"/>
      <c r="BA152" s="5"/>
      <c r="BB152" s="6"/>
      <c r="BC152" s="6"/>
      <c r="BD152" s="6"/>
      <c r="BE152" s="6"/>
      <c r="BF152" s="5"/>
      <c r="BG152" s="5"/>
      <c r="BH152" s="6"/>
      <c r="BI152" s="6"/>
      <c r="BJ152" s="6"/>
      <c r="BK152" s="6"/>
      <c r="BL152" s="6"/>
      <c r="BM152" s="6"/>
      <c r="BN152" s="6"/>
      <c r="BO152" s="6"/>
      <c r="BP152" s="6"/>
      <c r="BQ152" s="6"/>
    </row>
    <row r="153" spans="1:69" ht="28.8" x14ac:dyDescent="0.3">
      <c r="A153" s="135"/>
      <c r="B153" s="63">
        <v>149</v>
      </c>
      <c r="C153" s="57" t="s">
        <v>739</v>
      </c>
      <c r="D153" s="5" t="s">
        <v>4</v>
      </c>
      <c r="E153" s="4">
        <v>20</v>
      </c>
      <c r="F153" s="15" t="s">
        <v>738</v>
      </c>
      <c r="G153" s="10" t="s">
        <v>740</v>
      </c>
      <c r="H153" s="6"/>
      <c r="I153" s="6"/>
      <c r="J153" s="6"/>
      <c r="K153" s="6"/>
      <c r="L153" s="6"/>
      <c r="M153" s="6"/>
      <c r="N153" s="6"/>
      <c r="O153" s="6"/>
      <c r="P153" s="17">
        <v>26.96</v>
      </c>
      <c r="Q153" s="17">
        <f>P153*E153</f>
        <v>539.20000000000005</v>
      </c>
      <c r="R153" s="6"/>
      <c r="S153" s="6"/>
      <c r="T153" s="6"/>
      <c r="U153" s="6"/>
      <c r="V153" s="6"/>
      <c r="W153" s="6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6"/>
      <c r="AQ153" s="6"/>
      <c r="AR153" s="6"/>
      <c r="AS153" s="6"/>
      <c r="AT153" s="6"/>
      <c r="AU153" s="6"/>
      <c r="AV153" s="7"/>
      <c r="AW153" s="7"/>
      <c r="AX153" s="7"/>
      <c r="AY153" s="7"/>
      <c r="AZ153" s="5"/>
      <c r="BA153" s="5"/>
      <c r="BB153" s="6"/>
      <c r="BC153" s="6"/>
      <c r="BD153" s="6"/>
      <c r="BE153" s="6"/>
      <c r="BF153" s="5"/>
      <c r="BG153" s="5"/>
      <c r="BH153" s="6"/>
      <c r="BI153" s="6"/>
      <c r="BJ153" s="6"/>
      <c r="BK153" s="6"/>
      <c r="BL153" s="6"/>
      <c r="BM153" s="6"/>
      <c r="BN153" s="6"/>
      <c r="BO153" s="6"/>
      <c r="BP153" s="6"/>
      <c r="BQ153" s="6"/>
    </row>
    <row r="154" spans="1:69" ht="86.4" x14ac:dyDescent="0.3">
      <c r="A154" s="135"/>
      <c r="B154" s="63">
        <v>150</v>
      </c>
      <c r="C154" s="57" t="s">
        <v>741</v>
      </c>
      <c r="D154" s="5" t="s">
        <v>4</v>
      </c>
      <c r="E154" s="5">
        <v>5</v>
      </c>
      <c r="F154" s="15" t="s">
        <v>742</v>
      </c>
      <c r="G154" s="10" t="s">
        <v>743</v>
      </c>
      <c r="H154" s="6"/>
      <c r="I154" s="6"/>
      <c r="J154" s="6"/>
      <c r="K154" s="6"/>
      <c r="L154" s="6"/>
      <c r="M154" s="6"/>
      <c r="N154" s="6"/>
      <c r="O154" s="6"/>
      <c r="P154" s="17">
        <v>45.83</v>
      </c>
      <c r="Q154" s="17">
        <f>P154*E154</f>
        <v>229.14999999999998</v>
      </c>
      <c r="R154" s="6"/>
      <c r="S154" s="6"/>
      <c r="T154" s="6"/>
      <c r="U154" s="6"/>
      <c r="V154" s="6"/>
      <c r="W154" s="6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6"/>
      <c r="AQ154" s="6"/>
      <c r="AR154" s="6"/>
      <c r="AS154" s="6"/>
      <c r="AT154" s="6"/>
      <c r="AU154" s="6"/>
      <c r="AV154" s="7"/>
      <c r="AW154" s="7"/>
      <c r="AX154" s="7"/>
      <c r="AY154" s="7"/>
      <c r="AZ154" s="5"/>
      <c r="BA154" s="5"/>
      <c r="BB154" s="6"/>
      <c r="BC154" s="6"/>
      <c r="BD154" s="6"/>
      <c r="BE154" s="6"/>
      <c r="BF154" s="5"/>
      <c r="BG154" s="5"/>
      <c r="BH154" s="6"/>
      <c r="BI154" s="6"/>
      <c r="BJ154" s="6"/>
      <c r="BK154" s="6"/>
      <c r="BL154" s="6"/>
      <c r="BM154" s="6"/>
      <c r="BN154" s="6"/>
      <c r="BO154" s="6"/>
      <c r="BP154" s="6"/>
      <c r="BQ154" s="6"/>
    </row>
    <row r="155" spans="1:69" ht="28.8" x14ac:dyDescent="0.3">
      <c r="A155" s="135"/>
      <c r="B155" s="63">
        <v>151</v>
      </c>
      <c r="C155" s="57" t="s">
        <v>866</v>
      </c>
      <c r="D155" s="5" t="s">
        <v>4</v>
      </c>
      <c r="E155" s="5">
        <v>5</v>
      </c>
      <c r="F155" s="10" t="s">
        <v>869</v>
      </c>
      <c r="G155" s="10" t="s">
        <v>872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17">
        <v>43.2</v>
      </c>
      <c r="U155" s="17">
        <f>T155*E155</f>
        <v>216</v>
      </c>
      <c r="V155" s="6"/>
      <c r="W155" s="6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6"/>
      <c r="AQ155" s="6"/>
      <c r="AR155" s="6"/>
      <c r="AS155" s="6"/>
      <c r="AT155" s="6"/>
      <c r="AU155" s="6"/>
      <c r="AV155" s="7"/>
      <c r="AW155" s="7"/>
      <c r="AX155" s="7"/>
      <c r="AY155" s="7"/>
      <c r="AZ155" s="5"/>
      <c r="BA155" s="5"/>
      <c r="BB155" s="6"/>
      <c r="BC155" s="6"/>
      <c r="BD155" s="6"/>
      <c r="BE155" s="6"/>
      <c r="BF155" s="5"/>
      <c r="BG155" s="5"/>
      <c r="BH155" s="6"/>
      <c r="BI155" s="6"/>
      <c r="BJ155" s="6"/>
      <c r="BK155" s="6"/>
      <c r="BL155" s="6"/>
      <c r="BM155" s="6"/>
      <c r="BN155" s="6"/>
      <c r="BO155" s="6"/>
      <c r="BP155" s="6"/>
      <c r="BQ155" s="6"/>
    </row>
    <row r="156" spans="1:69" ht="43.2" x14ac:dyDescent="0.3">
      <c r="A156" s="135"/>
      <c r="B156" s="63">
        <v>152</v>
      </c>
      <c r="C156" s="57" t="s">
        <v>867</v>
      </c>
      <c r="D156" s="5" t="s">
        <v>4</v>
      </c>
      <c r="E156" s="5">
        <v>2</v>
      </c>
      <c r="F156" s="10" t="s">
        <v>870</v>
      </c>
      <c r="G156" s="10" t="s">
        <v>872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6"/>
      <c r="AQ156" s="6"/>
      <c r="AR156" s="6"/>
      <c r="AS156" s="6"/>
      <c r="AT156" s="6"/>
      <c r="AU156" s="6"/>
      <c r="AV156" s="7"/>
      <c r="AW156" s="7"/>
      <c r="AX156" s="7"/>
      <c r="AY156" s="7"/>
      <c r="AZ156" s="5"/>
      <c r="BA156" s="5"/>
      <c r="BB156" s="6"/>
      <c r="BC156" s="6"/>
      <c r="BD156" s="6"/>
      <c r="BE156" s="6"/>
      <c r="BF156" s="5"/>
      <c r="BG156" s="5"/>
      <c r="BH156" s="6"/>
      <c r="BI156" s="6"/>
      <c r="BJ156" s="17">
        <v>108</v>
      </c>
      <c r="BK156" s="17">
        <f>BJ156*E156</f>
        <v>216</v>
      </c>
      <c r="BL156" s="6"/>
      <c r="BM156" s="6"/>
      <c r="BN156" s="6"/>
      <c r="BO156" s="6"/>
      <c r="BP156" s="6"/>
      <c r="BQ156" s="6"/>
    </row>
    <row r="157" spans="1:69" ht="29.4" thickBot="1" x14ac:dyDescent="0.35">
      <c r="A157" s="136"/>
      <c r="B157" s="63">
        <v>153</v>
      </c>
      <c r="C157" s="57" t="s">
        <v>868</v>
      </c>
      <c r="D157" s="5" t="s">
        <v>4</v>
      </c>
      <c r="E157" s="5">
        <v>2</v>
      </c>
      <c r="F157" s="10" t="s">
        <v>871</v>
      </c>
      <c r="G157" s="10" t="s">
        <v>872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17">
        <v>107.44</v>
      </c>
      <c r="U157" s="17">
        <f>T157*E157</f>
        <v>214.88</v>
      </c>
      <c r="V157" s="6"/>
      <c r="W157" s="6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6"/>
      <c r="AQ157" s="6"/>
      <c r="AR157" s="6"/>
      <c r="AS157" s="6"/>
      <c r="AT157" s="6"/>
      <c r="AU157" s="6"/>
      <c r="AV157" s="7"/>
      <c r="AW157" s="7"/>
      <c r="AX157" s="7"/>
      <c r="AY157" s="7"/>
      <c r="AZ157" s="5"/>
      <c r="BA157" s="5"/>
      <c r="BB157" s="6"/>
      <c r="BC157" s="6"/>
      <c r="BD157" s="6"/>
      <c r="BE157" s="6"/>
      <c r="BF157" s="5"/>
      <c r="BG157" s="5"/>
      <c r="BH157" s="6"/>
      <c r="BI157" s="6"/>
      <c r="BJ157" s="6"/>
      <c r="BK157" s="6"/>
      <c r="BL157" s="6"/>
      <c r="BM157" s="6"/>
      <c r="BN157" s="6"/>
      <c r="BO157" s="6"/>
      <c r="BP157" s="6"/>
      <c r="BQ157" s="6"/>
    </row>
    <row r="158" spans="1:69" ht="33.6" customHeight="1" x14ac:dyDescent="0.3">
      <c r="A158" s="134" t="s">
        <v>981</v>
      </c>
      <c r="B158" s="63">
        <v>154</v>
      </c>
      <c r="C158" s="57" t="s">
        <v>190</v>
      </c>
      <c r="D158" s="5" t="s">
        <v>4</v>
      </c>
      <c r="E158" s="5">
        <v>2</v>
      </c>
      <c r="F158" s="15" t="s">
        <v>191</v>
      </c>
      <c r="G158" s="10" t="s">
        <v>192</v>
      </c>
      <c r="H158" s="6"/>
      <c r="I158" s="6"/>
      <c r="J158" s="6"/>
      <c r="K158" s="6"/>
      <c r="L158" s="6"/>
      <c r="M158" s="6"/>
      <c r="N158" s="17">
        <v>55.2</v>
      </c>
      <c r="O158" s="17">
        <f>N158*E158</f>
        <v>110.4</v>
      </c>
      <c r="P158" s="6"/>
      <c r="Q158" s="6"/>
      <c r="R158" s="6"/>
      <c r="S158" s="6"/>
      <c r="T158" s="6"/>
      <c r="U158" s="6"/>
      <c r="V158" s="6"/>
      <c r="W158" s="6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45"/>
      <c r="AP158" s="6"/>
      <c r="AQ158" s="50"/>
      <c r="AR158" s="6"/>
      <c r="AS158" s="6"/>
      <c r="AT158" s="6"/>
      <c r="AU158" s="6"/>
      <c r="AV158" s="7"/>
      <c r="AW158" s="7"/>
      <c r="AX158" s="7"/>
      <c r="AY158" s="7"/>
      <c r="AZ158" s="5"/>
      <c r="BA158" s="5"/>
      <c r="BB158" s="6"/>
      <c r="BC158" s="6"/>
      <c r="BD158" s="6"/>
      <c r="BE158" s="6"/>
      <c r="BF158" s="5"/>
      <c r="BG158" s="5"/>
      <c r="BH158" s="6"/>
      <c r="BI158" s="6"/>
      <c r="BJ158" s="6"/>
      <c r="BK158" s="6"/>
      <c r="BL158" s="6"/>
      <c r="BM158" s="6"/>
      <c r="BN158" s="6"/>
      <c r="BO158" s="6"/>
      <c r="BP158" s="6"/>
      <c r="BQ158" s="6"/>
    </row>
    <row r="159" spans="1:69" ht="43.2" customHeight="1" x14ac:dyDescent="0.3">
      <c r="A159" s="135"/>
      <c r="B159" s="63">
        <v>155</v>
      </c>
      <c r="C159" s="56" t="s">
        <v>329</v>
      </c>
      <c r="D159" s="5" t="s">
        <v>4</v>
      </c>
      <c r="E159" s="5">
        <v>5</v>
      </c>
      <c r="F159" s="15" t="s">
        <v>328</v>
      </c>
      <c r="G159" s="10" t="s">
        <v>611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17">
        <v>189.5</v>
      </c>
      <c r="AK159" s="17">
        <f>AJ159*E159</f>
        <v>947.5</v>
      </c>
      <c r="AL159" s="5"/>
      <c r="AM159" s="5"/>
      <c r="AN159" s="5"/>
      <c r="AO159" s="45"/>
      <c r="AP159" s="6"/>
      <c r="AQ159" s="50"/>
      <c r="AR159" s="6"/>
      <c r="AS159" s="6"/>
      <c r="AT159" s="6"/>
      <c r="AU159" s="6"/>
      <c r="AV159" s="7"/>
      <c r="AW159" s="7"/>
      <c r="AX159" s="7"/>
      <c r="AY159" s="7"/>
      <c r="AZ159" s="5"/>
      <c r="BA159" s="5"/>
      <c r="BB159" s="6"/>
      <c r="BC159" s="6"/>
      <c r="BD159" s="6"/>
      <c r="BE159" s="6"/>
      <c r="BF159" s="5"/>
      <c r="BG159" s="5"/>
      <c r="BH159" s="6"/>
      <c r="BI159" s="6"/>
      <c r="BJ159" s="6"/>
      <c r="BK159" s="6"/>
      <c r="BL159" s="6"/>
      <c r="BM159" s="6"/>
      <c r="BN159" s="6"/>
      <c r="BO159" s="6"/>
      <c r="BP159" s="6"/>
      <c r="BQ159" s="6"/>
    </row>
    <row r="160" spans="1:69" ht="43.2" x14ac:dyDescent="0.3">
      <c r="A160" s="135"/>
      <c r="B160" s="63">
        <v>156</v>
      </c>
      <c r="C160" s="56" t="s">
        <v>331</v>
      </c>
      <c r="D160" s="5" t="s">
        <v>4</v>
      </c>
      <c r="E160" s="5">
        <v>10</v>
      </c>
      <c r="F160" s="15" t="s">
        <v>334</v>
      </c>
      <c r="G160" s="10" t="s">
        <v>611</v>
      </c>
      <c r="H160" s="6"/>
      <c r="I160" s="6"/>
      <c r="J160" s="6"/>
      <c r="K160" s="6"/>
      <c r="L160" s="6"/>
      <c r="M160" s="6"/>
      <c r="N160" s="17">
        <v>27.3</v>
      </c>
      <c r="O160" s="17">
        <f>N160*E160</f>
        <v>273</v>
      </c>
      <c r="P160" s="6"/>
      <c r="Q160" s="6"/>
      <c r="R160" s="6"/>
      <c r="S160" s="6"/>
      <c r="T160" s="6"/>
      <c r="U160" s="6"/>
      <c r="V160" s="6"/>
      <c r="W160" s="6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45"/>
      <c r="AP160" s="6"/>
      <c r="AQ160" s="50"/>
      <c r="AR160" s="6"/>
      <c r="AS160" s="6"/>
      <c r="AT160" s="6"/>
      <c r="AU160" s="6"/>
      <c r="AV160" s="7"/>
      <c r="AW160" s="7"/>
      <c r="AX160" s="7"/>
      <c r="AY160" s="7"/>
      <c r="AZ160" s="5"/>
      <c r="BA160" s="5"/>
      <c r="BB160" s="6"/>
      <c r="BC160" s="6"/>
      <c r="BD160" s="6"/>
      <c r="BE160" s="6"/>
      <c r="BF160" s="5"/>
      <c r="BG160" s="5"/>
      <c r="BH160" s="6"/>
      <c r="BI160" s="6"/>
      <c r="BJ160" s="6"/>
      <c r="BK160" s="6"/>
      <c r="BL160" s="6"/>
      <c r="BM160" s="6"/>
      <c r="BN160" s="6"/>
      <c r="BO160" s="6"/>
      <c r="BP160" s="6"/>
      <c r="BQ160" s="6"/>
    </row>
    <row r="161" spans="1:69" ht="43.2" x14ac:dyDescent="0.3">
      <c r="A161" s="135"/>
      <c r="B161" s="5">
        <v>157</v>
      </c>
      <c r="C161" s="56" t="s">
        <v>332</v>
      </c>
      <c r="D161" s="5" t="s">
        <v>4</v>
      </c>
      <c r="E161" s="5">
        <v>10</v>
      </c>
      <c r="F161" s="15" t="s">
        <v>333</v>
      </c>
      <c r="G161" s="10" t="s">
        <v>611</v>
      </c>
      <c r="H161" s="6"/>
      <c r="I161" s="6"/>
      <c r="J161" s="6"/>
      <c r="K161" s="6"/>
      <c r="L161" s="6"/>
      <c r="M161" s="6"/>
      <c r="N161" s="17">
        <v>27.3</v>
      </c>
      <c r="O161" s="17">
        <f>N161*E161</f>
        <v>273</v>
      </c>
      <c r="P161" s="6"/>
      <c r="Q161" s="6"/>
      <c r="R161" s="6"/>
      <c r="S161" s="6"/>
      <c r="T161" s="6"/>
      <c r="U161" s="6"/>
      <c r="V161" s="6"/>
      <c r="W161" s="6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45"/>
      <c r="AP161" s="6"/>
      <c r="AQ161" s="50"/>
      <c r="AR161" s="6"/>
      <c r="AS161" s="6"/>
      <c r="AT161" s="6"/>
      <c r="AU161" s="6"/>
      <c r="AV161" s="7"/>
      <c r="AW161" s="7"/>
      <c r="AX161" s="7"/>
      <c r="AY161" s="7"/>
      <c r="AZ161" s="5"/>
      <c r="BA161" s="5"/>
      <c r="BB161" s="6"/>
      <c r="BC161" s="6"/>
      <c r="BD161" s="6"/>
      <c r="BE161" s="6"/>
      <c r="BF161" s="5"/>
      <c r="BG161" s="5"/>
      <c r="BH161" s="6"/>
      <c r="BI161" s="6"/>
      <c r="BJ161" s="6"/>
      <c r="BK161" s="6"/>
      <c r="BL161" s="6"/>
      <c r="BM161" s="6"/>
      <c r="BN161" s="6"/>
      <c r="BO161" s="6"/>
      <c r="BP161" s="6"/>
      <c r="BQ161" s="6"/>
    </row>
    <row r="162" spans="1:69" ht="43.2" x14ac:dyDescent="0.3">
      <c r="A162" s="135"/>
      <c r="B162" s="111">
        <v>158</v>
      </c>
      <c r="C162" s="57" t="s">
        <v>704</v>
      </c>
      <c r="D162" s="5" t="s">
        <v>4</v>
      </c>
      <c r="E162" s="5">
        <v>1</v>
      </c>
      <c r="F162" s="15" t="s">
        <v>703</v>
      </c>
      <c r="G162" s="10" t="s">
        <v>715</v>
      </c>
      <c r="H162" s="17">
        <v>1503.7</v>
      </c>
      <c r="I162" s="17">
        <f>H162*E162</f>
        <v>1503.7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6"/>
      <c r="AQ162" s="6"/>
      <c r="AR162" s="6"/>
      <c r="AS162" s="6"/>
      <c r="AT162" s="6"/>
      <c r="AU162" s="6"/>
      <c r="AV162" s="7"/>
      <c r="AW162" s="7"/>
      <c r="AX162" s="7"/>
      <c r="AY162" s="7"/>
      <c r="AZ162" s="5"/>
      <c r="BA162" s="5"/>
      <c r="BB162" s="6"/>
      <c r="BC162" s="6"/>
      <c r="BD162" s="6"/>
      <c r="BE162" s="6"/>
      <c r="BF162" s="5"/>
      <c r="BG162" s="5"/>
      <c r="BH162" s="6"/>
      <c r="BI162" s="6"/>
      <c r="BJ162" s="6"/>
      <c r="BK162" s="6"/>
      <c r="BL162" s="6"/>
      <c r="BM162" s="6"/>
      <c r="BN162" s="6"/>
      <c r="BO162" s="6"/>
      <c r="BP162" s="6"/>
      <c r="BQ162" s="6"/>
    </row>
    <row r="163" spans="1:69" ht="43.2" x14ac:dyDescent="0.3">
      <c r="A163" s="135"/>
      <c r="B163" s="111">
        <v>159</v>
      </c>
      <c r="C163" s="57" t="s">
        <v>706</v>
      </c>
      <c r="D163" s="5" t="s">
        <v>4</v>
      </c>
      <c r="E163" s="5">
        <v>1</v>
      </c>
      <c r="F163" s="15" t="s">
        <v>705</v>
      </c>
      <c r="G163" s="10" t="s">
        <v>715</v>
      </c>
      <c r="H163" s="17">
        <v>302.38</v>
      </c>
      <c r="I163" s="17">
        <f>H163*E163</f>
        <v>302.38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6"/>
      <c r="AQ163" s="6"/>
      <c r="AR163" s="6"/>
      <c r="AS163" s="6"/>
      <c r="AT163" s="6"/>
      <c r="AU163" s="6"/>
      <c r="AV163" s="7"/>
      <c r="AW163" s="7"/>
      <c r="AX163" s="7"/>
      <c r="AY163" s="7"/>
      <c r="AZ163" s="5"/>
      <c r="BA163" s="5"/>
      <c r="BB163" s="6"/>
      <c r="BC163" s="6"/>
      <c r="BD163" s="6"/>
      <c r="BE163" s="6"/>
      <c r="BF163" s="5"/>
      <c r="BG163" s="5"/>
      <c r="BH163" s="6"/>
      <c r="BI163" s="6"/>
      <c r="BJ163" s="6"/>
      <c r="BK163" s="6"/>
      <c r="BL163" s="6"/>
      <c r="BM163" s="6"/>
      <c r="BN163" s="6"/>
      <c r="BO163" s="6"/>
      <c r="BP163" s="6"/>
      <c r="BQ163" s="6"/>
    </row>
    <row r="164" spans="1:69" ht="28.8" x14ac:dyDescent="0.3">
      <c r="A164" s="135"/>
      <c r="B164" s="111">
        <v>160</v>
      </c>
      <c r="C164" s="57" t="s">
        <v>707</v>
      </c>
      <c r="D164" s="5" t="s">
        <v>4</v>
      </c>
      <c r="E164" s="5">
        <v>1</v>
      </c>
      <c r="F164" s="15" t="s">
        <v>708</v>
      </c>
      <c r="G164" s="10" t="s">
        <v>715</v>
      </c>
      <c r="H164" s="17">
        <v>302.38</v>
      </c>
      <c r="I164" s="17">
        <f>H164*E164</f>
        <v>302.38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6"/>
      <c r="AQ164" s="6"/>
      <c r="AR164" s="6"/>
      <c r="AS164" s="6"/>
      <c r="AT164" s="6"/>
      <c r="AU164" s="6"/>
      <c r="AV164" s="7"/>
      <c r="AW164" s="7"/>
      <c r="AX164" s="7"/>
      <c r="AY164" s="7"/>
      <c r="AZ164" s="5"/>
      <c r="BA164" s="5"/>
      <c r="BB164" s="6"/>
      <c r="BC164" s="6"/>
      <c r="BD164" s="6"/>
      <c r="BE164" s="6"/>
      <c r="BF164" s="5"/>
      <c r="BG164" s="5"/>
      <c r="BH164" s="6"/>
      <c r="BI164" s="6"/>
      <c r="BJ164" s="6"/>
      <c r="BK164" s="6"/>
      <c r="BL164" s="6"/>
      <c r="BM164" s="6"/>
      <c r="BN164" s="6"/>
      <c r="BO164" s="6"/>
      <c r="BP164" s="6"/>
      <c r="BQ164" s="6"/>
    </row>
    <row r="165" spans="1:69" ht="28.8" x14ac:dyDescent="0.3">
      <c r="A165" s="135"/>
      <c r="B165" s="111">
        <v>161</v>
      </c>
      <c r="C165" s="57" t="s">
        <v>711</v>
      </c>
      <c r="D165" s="5" t="s">
        <v>4</v>
      </c>
      <c r="E165" s="5">
        <v>4</v>
      </c>
      <c r="F165" s="15" t="s">
        <v>709</v>
      </c>
      <c r="G165" s="10" t="s">
        <v>715</v>
      </c>
      <c r="H165" s="17">
        <v>136.37</v>
      </c>
      <c r="I165" s="17">
        <f>H165*E165</f>
        <v>545.48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6"/>
      <c r="AQ165" s="6"/>
      <c r="AR165" s="6"/>
      <c r="AS165" s="6"/>
      <c r="AT165" s="6"/>
      <c r="AU165" s="6"/>
      <c r="AV165" s="7"/>
      <c r="AW165" s="7"/>
      <c r="AX165" s="7"/>
      <c r="AY165" s="7"/>
      <c r="AZ165" s="5"/>
      <c r="BA165" s="5"/>
      <c r="BB165" s="6"/>
      <c r="BC165" s="6"/>
      <c r="BD165" s="6"/>
      <c r="BE165" s="6"/>
      <c r="BF165" s="5"/>
      <c r="BG165" s="5"/>
      <c r="BH165" s="6"/>
      <c r="BI165" s="6"/>
      <c r="BJ165" s="6"/>
      <c r="BK165" s="6"/>
      <c r="BL165" s="6"/>
      <c r="BM165" s="6"/>
      <c r="BN165" s="6"/>
      <c r="BO165" s="6"/>
      <c r="BP165" s="6"/>
      <c r="BQ165" s="6"/>
    </row>
    <row r="166" spans="1:69" ht="28.8" x14ac:dyDescent="0.3">
      <c r="A166" s="135"/>
      <c r="B166" s="63">
        <v>162</v>
      </c>
      <c r="C166" s="57" t="s">
        <v>712</v>
      </c>
      <c r="D166" s="5" t="s">
        <v>4</v>
      </c>
      <c r="E166" s="5">
        <v>2</v>
      </c>
      <c r="F166" s="15" t="s">
        <v>710</v>
      </c>
      <c r="G166" s="10" t="s">
        <v>715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6"/>
      <c r="AQ166" s="6"/>
      <c r="AR166" s="6"/>
      <c r="AS166" s="6"/>
      <c r="AT166" s="6"/>
      <c r="AU166" s="6"/>
      <c r="AV166" s="7"/>
      <c r="AW166" s="7"/>
      <c r="AX166" s="7"/>
      <c r="AY166" s="7"/>
      <c r="AZ166" s="5"/>
      <c r="BA166" s="5"/>
      <c r="BB166" s="6"/>
      <c r="BC166" s="6"/>
      <c r="BD166" s="6"/>
      <c r="BE166" s="6"/>
      <c r="BF166" s="5"/>
      <c r="BG166" s="5"/>
      <c r="BH166" s="6"/>
      <c r="BI166" s="6"/>
      <c r="BJ166" s="6"/>
      <c r="BK166" s="6"/>
      <c r="BL166" s="17">
        <v>324.93</v>
      </c>
      <c r="BM166" s="17">
        <f>BL166*E166</f>
        <v>649.86</v>
      </c>
      <c r="BN166" s="6"/>
      <c r="BO166" s="6"/>
      <c r="BP166" s="6"/>
      <c r="BQ166" s="6"/>
    </row>
    <row r="167" spans="1:69" ht="58.2" thickBot="1" x14ac:dyDescent="0.35">
      <c r="A167" s="136"/>
      <c r="B167" s="63">
        <v>163</v>
      </c>
      <c r="C167" s="57" t="s">
        <v>714</v>
      </c>
      <c r="D167" s="5" t="s">
        <v>4</v>
      </c>
      <c r="E167" s="5">
        <v>2</v>
      </c>
      <c r="F167" s="13" t="s">
        <v>713</v>
      </c>
      <c r="G167" s="10" t="s">
        <v>715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6"/>
      <c r="AQ167" s="6"/>
      <c r="AR167" s="6"/>
      <c r="AS167" s="6"/>
      <c r="AT167" s="6"/>
      <c r="AU167" s="6"/>
      <c r="AV167" s="7"/>
      <c r="AW167" s="7"/>
      <c r="AX167" s="7"/>
      <c r="AY167" s="7"/>
      <c r="AZ167" s="5"/>
      <c r="BA167" s="5"/>
      <c r="BB167" s="6"/>
      <c r="BC167" s="6"/>
      <c r="BD167" s="6"/>
      <c r="BE167" s="6"/>
      <c r="BF167" s="5"/>
      <c r="BG167" s="5"/>
      <c r="BH167" s="6"/>
      <c r="BI167" s="6"/>
      <c r="BJ167" s="6"/>
      <c r="BK167" s="6"/>
      <c r="BL167" s="17">
        <v>324.93</v>
      </c>
      <c r="BM167" s="17">
        <f>BL167*E167</f>
        <v>649.86</v>
      </c>
      <c r="BN167" s="6"/>
      <c r="BO167" s="6"/>
      <c r="BP167" s="6"/>
      <c r="BQ167" s="6"/>
    </row>
    <row r="168" spans="1:69" ht="28.8" customHeight="1" x14ac:dyDescent="0.3">
      <c r="A168" s="128" t="s">
        <v>980</v>
      </c>
      <c r="B168" s="63">
        <v>164</v>
      </c>
      <c r="C168" s="56" t="s">
        <v>248</v>
      </c>
      <c r="D168" s="5" t="s">
        <v>4</v>
      </c>
      <c r="E168" s="5">
        <v>20</v>
      </c>
      <c r="F168" s="15" t="s">
        <v>249</v>
      </c>
      <c r="G168" s="10" t="s">
        <v>622</v>
      </c>
      <c r="H168" s="6"/>
      <c r="I168" s="6"/>
      <c r="J168" s="6"/>
      <c r="K168" s="6"/>
      <c r="L168" s="6"/>
      <c r="M168" s="6"/>
      <c r="N168" s="6"/>
      <c r="O168" s="6"/>
      <c r="P168" s="17">
        <v>3.18</v>
      </c>
      <c r="Q168" s="17">
        <f>P168*E168</f>
        <v>63.6</v>
      </c>
      <c r="R168" s="6"/>
      <c r="S168" s="6"/>
      <c r="T168" s="6"/>
      <c r="U168" s="6"/>
      <c r="V168" s="6"/>
      <c r="W168" s="6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45"/>
      <c r="AP168" s="6"/>
      <c r="AQ168" s="50"/>
      <c r="AR168" s="6"/>
      <c r="AS168" s="6"/>
      <c r="AT168" s="6"/>
      <c r="AU168" s="6"/>
      <c r="AV168" s="7"/>
      <c r="AW168" s="7"/>
      <c r="AX168" s="7"/>
      <c r="AY168" s="7"/>
      <c r="AZ168" s="5"/>
      <c r="BA168" s="5"/>
      <c r="BB168" s="6"/>
      <c r="BC168" s="6"/>
      <c r="BD168" s="6"/>
      <c r="BE168" s="6"/>
      <c r="BF168" s="5"/>
      <c r="BG168" s="5"/>
      <c r="BH168" s="6"/>
      <c r="BI168" s="6"/>
      <c r="BJ168" s="6"/>
      <c r="BK168" s="6"/>
      <c r="BL168" s="6"/>
      <c r="BM168" s="6"/>
      <c r="BN168" s="6"/>
      <c r="BO168" s="6"/>
      <c r="BP168" s="6"/>
      <c r="BQ168" s="6"/>
    </row>
    <row r="169" spans="1:69" ht="28.8" x14ac:dyDescent="0.3">
      <c r="A169" s="129"/>
      <c r="B169" s="63">
        <v>165</v>
      </c>
      <c r="C169" s="56" t="s">
        <v>335</v>
      </c>
      <c r="D169" s="5" t="s">
        <v>4</v>
      </c>
      <c r="E169" s="5">
        <v>50</v>
      </c>
      <c r="F169" s="15" t="s">
        <v>686</v>
      </c>
      <c r="G169" s="10" t="s">
        <v>612</v>
      </c>
      <c r="H169" s="6"/>
      <c r="I169" s="6"/>
      <c r="J169" s="6"/>
      <c r="K169" s="6"/>
      <c r="L169" s="6"/>
      <c r="M169" s="6"/>
      <c r="N169" s="6"/>
      <c r="O169" s="6"/>
      <c r="P169" s="68"/>
      <c r="Q169" s="68"/>
      <c r="R169" s="6"/>
      <c r="S169" s="6"/>
      <c r="T169" s="6"/>
      <c r="U169" s="6"/>
      <c r="V169" s="6"/>
      <c r="W169" s="6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7">
        <v>10.692600000000001</v>
      </c>
      <c r="AI169" s="17">
        <f>AH169*E169</f>
        <v>534.63</v>
      </c>
      <c r="AJ169" s="5"/>
      <c r="AK169" s="5"/>
      <c r="AL169" s="5"/>
      <c r="AM169" s="5"/>
      <c r="AN169" s="5"/>
      <c r="AO169" s="45"/>
      <c r="AP169" s="6"/>
      <c r="AQ169" s="50"/>
      <c r="AR169" s="6"/>
      <c r="AS169" s="6"/>
      <c r="AT169" s="6"/>
      <c r="AU169" s="6"/>
      <c r="AV169" s="7"/>
      <c r="AW169" s="7"/>
      <c r="AX169" s="7"/>
      <c r="AY169" s="7"/>
      <c r="AZ169" s="5"/>
      <c r="BA169" s="5"/>
      <c r="BB169" s="6"/>
      <c r="BC169" s="6"/>
      <c r="BD169" s="6"/>
      <c r="BE169" s="6"/>
      <c r="BF169" s="5"/>
      <c r="BG169" s="5"/>
      <c r="BH169" s="6"/>
      <c r="BI169" s="6"/>
      <c r="BJ169" s="6"/>
      <c r="BK169" s="6"/>
      <c r="BL169" s="6"/>
      <c r="BM169" s="6"/>
      <c r="BN169" s="6"/>
      <c r="BO169" s="6"/>
      <c r="BP169" s="6"/>
      <c r="BQ169" s="6"/>
    </row>
    <row r="170" spans="1:69" x14ac:dyDescent="0.3">
      <c r="A170" s="129"/>
      <c r="B170" s="63">
        <v>167</v>
      </c>
      <c r="C170" s="78" t="s">
        <v>644</v>
      </c>
      <c r="D170" s="5" t="s">
        <v>4</v>
      </c>
      <c r="E170" s="5">
        <v>20</v>
      </c>
      <c r="F170" s="15" t="s">
        <v>645</v>
      </c>
      <c r="G170" s="8" t="s">
        <v>623</v>
      </c>
      <c r="H170" s="6"/>
      <c r="I170" s="6"/>
      <c r="J170" s="6"/>
      <c r="K170" s="6"/>
      <c r="L170" s="6"/>
      <c r="M170" s="6"/>
      <c r="N170" s="6"/>
      <c r="O170" s="6"/>
      <c r="P170" s="68"/>
      <c r="Q170" s="68"/>
      <c r="R170" s="6"/>
      <c r="S170" s="6"/>
      <c r="T170" s="17">
        <v>10.36</v>
      </c>
      <c r="U170" s="17">
        <f>T170*E170</f>
        <v>207.2</v>
      </c>
      <c r="V170" s="6"/>
      <c r="W170" s="6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6"/>
      <c r="AQ170" s="6"/>
      <c r="AR170" s="6"/>
      <c r="AS170" s="6"/>
      <c r="AT170" s="6"/>
      <c r="AU170" s="6"/>
      <c r="AV170" s="7"/>
      <c r="AW170" s="7"/>
      <c r="AX170" s="7"/>
      <c r="AY170" s="7"/>
      <c r="AZ170" s="5"/>
      <c r="BA170" s="5"/>
      <c r="BB170" s="6"/>
      <c r="BC170" s="6"/>
      <c r="BD170" s="6"/>
      <c r="BE170" s="6"/>
      <c r="BF170" s="5"/>
      <c r="BG170" s="5"/>
      <c r="BH170" s="6"/>
      <c r="BI170" s="6"/>
      <c r="BJ170" s="6"/>
      <c r="BK170" s="6"/>
      <c r="BL170" s="6"/>
      <c r="BM170" s="6"/>
      <c r="BN170" s="6"/>
      <c r="BO170" s="6"/>
      <c r="BP170" s="6"/>
      <c r="BQ170" s="6"/>
    </row>
    <row r="171" spans="1:69" ht="28.8" customHeight="1" x14ac:dyDescent="0.3">
      <c r="A171" s="129"/>
      <c r="B171" s="63">
        <v>168</v>
      </c>
      <c r="C171" s="57" t="s">
        <v>607</v>
      </c>
      <c r="D171" s="5" t="s">
        <v>4</v>
      </c>
      <c r="E171" s="5">
        <v>20</v>
      </c>
      <c r="F171" s="15" t="s">
        <v>606</v>
      </c>
      <c r="G171" s="8" t="s">
        <v>623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17">
        <v>2.78</v>
      </c>
      <c r="U171" s="17">
        <f>T171*E171</f>
        <v>55.599999999999994</v>
      </c>
      <c r="V171" s="6"/>
      <c r="W171" s="6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45"/>
      <c r="AP171" s="6"/>
      <c r="AQ171" s="50"/>
      <c r="AR171" s="6"/>
      <c r="AS171" s="6"/>
      <c r="AT171" s="6"/>
      <c r="AU171" s="6"/>
      <c r="AV171" s="7"/>
      <c r="AW171" s="7"/>
      <c r="AX171" s="7"/>
      <c r="AY171" s="7"/>
      <c r="AZ171" s="5"/>
      <c r="BA171" s="5"/>
      <c r="BB171" s="6"/>
      <c r="BC171" s="6"/>
      <c r="BD171" s="6"/>
      <c r="BE171" s="6"/>
      <c r="BF171" s="5"/>
      <c r="BG171" s="5"/>
      <c r="BH171" s="6"/>
      <c r="BI171" s="6"/>
      <c r="BJ171" s="6"/>
      <c r="BK171" s="6"/>
      <c r="BL171" s="6"/>
      <c r="BM171" s="6"/>
      <c r="BN171" s="6"/>
      <c r="BO171" s="6"/>
      <c r="BP171" s="6"/>
      <c r="BQ171" s="6"/>
    </row>
    <row r="172" spans="1:69" ht="28.8" x14ac:dyDescent="0.3">
      <c r="A172" s="129"/>
      <c r="B172" s="63">
        <v>169</v>
      </c>
      <c r="C172" s="55" t="s">
        <v>643</v>
      </c>
      <c r="D172" s="30" t="s">
        <v>4</v>
      </c>
      <c r="E172" s="30">
        <v>100</v>
      </c>
      <c r="F172" s="31" t="s">
        <v>259</v>
      </c>
      <c r="G172" s="8" t="s">
        <v>623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7">
        <v>0.12048</v>
      </c>
      <c r="AI172" s="17">
        <f t="shared" ref="AI172:AI181" si="6">AH172*E172</f>
        <v>12.048</v>
      </c>
      <c r="AJ172" s="5"/>
      <c r="AK172" s="5"/>
      <c r="AL172" s="5"/>
      <c r="AM172" s="5"/>
      <c r="AN172" s="5"/>
      <c r="AO172" s="45"/>
      <c r="AP172" s="6"/>
      <c r="AQ172" s="50"/>
      <c r="AR172" s="6"/>
      <c r="AS172" s="6"/>
      <c r="AT172" s="6"/>
      <c r="AU172" s="6"/>
      <c r="AV172" s="7"/>
      <c r="AW172" s="7"/>
      <c r="AX172" s="7"/>
      <c r="AY172" s="7"/>
      <c r="AZ172" s="5"/>
      <c r="BA172" s="5"/>
      <c r="BB172" s="6"/>
      <c r="BC172" s="6"/>
      <c r="BD172" s="6"/>
      <c r="BE172" s="6"/>
      <c r="BF172" s="5"/>
      <c r="BG172" s="5"/>
      <c r="BH172" s="6"/>
      <c r="BI172" s="6"/>
      <c r="BJ172" s="6"/>
      <c r="BK172" s="6"/>
      <c r="BL172" s="6"/>
      <c r="BM172" s="6"/>
      <c r="BN172" s="6"/>
      <c r="BO172" s="6"/>
      <c r="BP172" s="6"/>
      <c r="BQ172" s="6"/>
    </row>
    <row r="173" spans="1:69" ht="28.8" x14ac:dyDescent="0.3">
      <c r="A173" s="129"/>
      <c r="B173" s="63">
        <v>170</v>
      </c>
      <c r="C173" s="56" t="s">
        <v>261</v>
      </c>
      <c r="D173" s="5" t="s">
        <v>4</v>
      </c>
      <c r="E173" s="5">
        <v>15</v>
      </c>
      <c r="F173" s="15" t="s">
        <v>260</v>
      </c>
      <c r="G173" s="8" t="s">
        <v>623</v>
      </c>
      <c r="H173" s="6" t="s">
        <v>991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1">
        <v>13.946199999999999</v>
      </c>
      <c r="AI173" s="17">
        <f t="shared" si="6"/>
        <v>209.19299999999998</v>
      </c>
      <c r="AJ173" s="5"/>
      <c r="AK173" s="5"/>
      <c r="AL173" s="5"/>
      <c r="AM173" s="5"/>
      <c r="AN173" s="5"/>
      <c r="AO173" s="45"/>
      <c r="AP173" s="6"/>
      <c r="AQ173" s="50"/>
      <c r="AR173" s="6"/>
      <c r="AS173" s="6"/>
      <c r="AT173" s="6"/>
      <c r="AU173" s="6"/>
      <c r="AV173" s="7"/>
      <c r="AW173" s="7"/>
      <c r="AX173" s="7"/>
      <c r="AY173" s="7"/>
      <c r="AZ173" s="5"/>
      <c r="BA173" s="5"/>
      <c r="BB173" s="6"/>
      <c r="BC173" s="6"/>
      <c r="BD173" s="6"/>
      <c r="BE173" s="6"/>
      <c r="BF173" s="5"/>
      <c r="BG173" s="5"/>
      <c r="BH173" s="6"/>
      <c r="BI173" s="6"/>
      <c r="BJ173" s="6"/>
      <c r="BK173" s="6"/>
      <c r="BL173" s="6"/>
      <c r="BM173" s="6"/>
      <c r="BN173" s="6"/>
      <c r="BO173" s="6"/>
      <c r="BP173" s="6"/>
      <c r="BQ173" s="6"/>
    </row>
    <row r="174" spans="1:69" ht="28.8" x14ac:dyDescent="0.3">
      <c r="A174" s="129"/>
      <c r="B174" s="63">
        <v>171</v>
      </c>
      <c r="C174" s="55" t="s">
        <v>263</v>
      </c>
      <c r="D174" s="5" t="s">
        <v>4</v>
      </c>
      <c r="E174" s="5">
        <v>15</v>
      </c>
      <c r="F174" s="15" t="s">
        <v>262</v>
      </c>
      <c r="G174" s="8" t="s">
        <v>623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7">
        <v>7.95418</v>
      </c>
      <c r="AI174" s="17">
        <f t="shared" si="6"/>
        <v>119.31270000000001</v>
      </c>
      <c r="AJ174" s="5"/>
      <c r="AK174" s="5"/>
      <c r="AL174" s="5"/>
      <c r="AM174" s="5"/>
      <c r="AN174" s="5"/>
      <c r="AO174" s="45"/>
      <c r="AP174" s="6"/>
      <c r="AQ174" s="50"/>
      <c r="AR174" s="6"/>
      <c r="AS174" s="6"/>
      <c r="AT174" s="6"/>
      <c r="AU174" s="6"/>
      <c r="AV174" s="7"/>
      <c r="AW174" s="7"/>
      <c r="AX174" s="7"/>
      <c r="AY174" s="7"/>
      <c r="AZ174" s="5"/>
      <c r="BA174" s="5"/>
      <c r="BB174" s="6"/>
      <c r="BC174" s="6"/>
      <c r="BD174" s="6"/>
      <c r="BE174" s="6"/>
      <c r="BF174" s="5"/>
      <c r="BG174" s="5"/>
      <c r="BH174" s="6"/>
      <c r="BI174" s="6"/>
      <c r="BJ174" s="6"/>
      <c r="BK174" s="6"/>
      <c r="BL174" s="6"/>
      <c r="BM174" s="6"/>
      <c r="BN174" s="6"/>
      <c r="BO174" s="6"/>
      <c r="BP174" s="6"/>
      <c r="BQ174" s="6"/>
    </row>
    <row r="175" spans="1:69" ht="28.8" x14ac:dyDescent="0.3">
      <c r="A175" s="129"/>
      <c r="B175" s="63">
        <v>172</v>
      </c>
      <c r="C175" s="56" t="s">
        <v>265</v>
      </c>
      <c r="D175" s="5" t="s">
        <v>4</v>
      </c>
      <c r="E175" s="5">
        <v>20</v>
      </c>
      <c r="F175" s="15" t="s">
        <v>264</v>
      </c>
      <c r="G175" s="8" t="s">
        <v>623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7">
        <v>8.1567100000000003</v>
      </c>
      <c r="AI175" s="17">
        <f t="shared" si="6"/>
        <v>163.13420000000002</v>
      </c>
      <c r="AJ175" s="5"/>
      <c r="AK175" s="5"/>
      <c r="AL175" s="5"/>
      <c r="AM175" s="5"/>
      <c r="AN175" s="5"/>
      <c r="AO175" s="45"/>
      <c r="AP175" s="6"/>
      <c r="AQ175" s="50"/>
      <c r="AR175" s="6"/>
      <c r="AS175" s="6"/>
      <c r="AT175" s="6"/>
      <c r="AU175" s="6"/>
      <c r="AV175" s="7"/>
      <c r="AW175" s="7"/>
      <c r="AX175" s="7"/>
      <c r="AY175" s="7"/>
      <c r="AZ175" s="5"/>
      <c r="BA175" s="5"/>
      <c r="BB175" s="6"/>
      <c r="BC175" s="6"/>
      <c r="BD175" s="6"/>
      <c r="BE175" s="6"/>
      <c r="BF175" s="5"/>
      <c r="BG175" s="5"/>
      <c r="BH175" s="6"/>
      <c r="BI175" s="6"/>
      <c r="BJ175" s="6"/>
      <c r="BK175" s="6"/>
      <c r="BL175" s="6"/>
      <c r="BM175" s="6"/>
      <c r="BN175" s="6"/>
      <c r="BO175" s="6"/>
      <c r="BP175" s="6"/>
      <c r="BQ175" s="6"/>
    </row>
    <row r="176" spans="1:69" ht="28.8" x14ac:dyDescent="0.3">
      <c r="A176" s="129"/>
      <c r="B176" s="63">
        <v>173</v>
      </c>
      <c r="C176" s="55" t="s">
        <v>267</v>
      </c>
      <c r="D176" s="5" t="s">
        <v>4</v>
      </c>
      <c r="E176" s="5">
        <v>20</v>
      </c>
      <c r="F176" s="15" t="s">
        <v>266</v>
      </c>
      <c r="G176" s="8" t="s">
        <v>623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17">
        <v>8.1567100000000003</v>
      </c>
      <c r="AI176" s="17">
        <f t="shared" si="6"/>
        <v>163.13420000000002</v>
      </c>
      <c r="AJ176" s="5"/>
      <c r="AK176" s="5"/>
      <c r="AL176" s="5"/>
      <c r="AM176" s="5"/>
      <c r="AN176" s="5"/>
      <c r="AO176" s="45"/>
      <c r="AP176" s="6"/>
      <c r="AQ176" s="50"/>
      <c r="AR176" s="6"/>
      <c r="AS176" s="6"/>
      <c r="AT176" s="6"/>
      <c r="AU176" s="6"/>
      <c r="AV176" s="7"/>
      <c r="AW176" s="7"/>
      <c r="AX176" s="7"/>
      <c r="AY176" s="7"/>
      <c r="AZ176" s="5"/>
      <c r="BA176" s="5"/>
      <c r="BB176" s="6"/>
      <c r="BC176" s="6"/>
      <c r="BD176" s="6"/>
      <c r="BE176" s="6"/>
      <c r="BF176" s="5"/>
      <c r="BG176" s="5"/>
      <c r="BH176" s="6"/>
      <c r="BI176" s="6"/>
      <c r="BJ176" s="6"/>
      <c r="BK176" s="6"/>
      <c r="BL176" s="6"/>
      <c r="BM176" s="6"/>
      <c r="BN176" s="6"/>
      <c r="BO176" s="6"/>
      <c r="BP176" s="6"/>
      <c r="BQ176" s="6"/>
    </row>
    <row r="177" spans="1:69" ht="28.8" x14ac:dyDescent="0.3">
      <c r="A177" s="129"/>
      <c r="B177" s="63">
        <v>174</v>
      </c>
      <c r="C177" s="57" t="s">
        <v>642</v>
      </c>
      <c r="D177" s="5" t="s">
        <v>4</v>
      </c>
      <c r="E177" s="5">
        <v>15</v>
      </c>
      <c r="F177" s="15" t="s">
        <v>268</v>
      </c>
      <c r="G177" s="8" t="s">
        <v>623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17">
        <v>5.3917200000000003</v>
      </c>
      <c r="AI177" s="17">
        <f t="shared" si="6"/>
        <v>80.875799999999998</v>
      </c>
      <c r="AJ177" s="5"/>
      <c r="AK177" s="5"/>
      <c r="AL177" s="5"/>
      <c r="AM177" s="5"/>
      <c r="AN177" s="5"/>
      <c r="AO177" s="45"/>
      <c r="AP177" s="6"/>
      <c r="AQ177" s="50"/>
      <c r="AR177" s="6"/>
      <c r="AS177" s="6"/>
      <c r="AT177" s="6"/>
      <c r="AU177" s="6"/>
      <c r="AV177" s="7"/>
      <c r="AW177" s="7"/>
      <c r="AX177" s="7"/>
      <c r="AY177" s="7"/>
      <c r="AZ177" s="5"/>
      <c r="BA177" s="5"/>
      <c r="BB177" s="6"/>
      <c r="BC177" s="6"/>
      <c r="BD177" s="6"/>
      <c r="BE177" s="6"/>
      <c r="BF177" s="5"/>
      <c r="BG177" s="5"/>
      <c r="BH177" s="6"/>
      <c r="BI177" s="6"/>
      <c r="BJ177" s="6"/>
      <c r="BK177" s="6"/>
      <c r="BL177" s="6"/>
      <c r="BM177" s="6"/>
      <c r="BN177" s="6"/>
      <c r="BO177" s="6"/>
      <c r="BP177" s="6"/>
      <c r="BQ177" s="6"/>
    </row>
    <row r="178" spans="1:69" ht="28.8" x14ac:dyDescent="0.3">
      <c r="A178" s="129"/>
      <c r="B178" s="63">
        <v>175</v>
      </c>
      <c r="C178" s="57" t="s">
        <v>341</v>
      </c>
      <c r="D178" s="5" t="s">
        <v>4</v>
      </c>
      <c r="E178" s="5">
        <v>100</v>
      </c>
      <c r="F178" s="15" t="s">
        <v>269</v>
      </c>
      <c r="G178" s="8" t="s">
        <v>623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17">
        <v>0.45517000000000002</v>
      </c>
      <c r="AI178" s="17">
        <f t="shared" si="6"/>
        <v>45.517000000000003</v>
      </c>
      <c r="AJ178" s="5"/>
      <c r="AK178" s="5"/>
      <c r="AL178" s="5"/>
      <c r="AM178" s="5"/>
      <c r="AN178" s="5"/>
      <c r="AO178" s="45"/>
      <c r="AP178" s="6"/>
      <c r="AQ178" s="50"/>
      <c r="AR178" s="6"/>
      <c r="AS178" s="6"/>
      <c r="AT178" s="6"/>
      <c r="AU178" s="6"/>
      <c r="AV178" s="7"/>
      <c r="AW178" s="7"/>
      <c r="AX178" s="7"/>
      <c r="AY178" s="7"/>
      <c r="AZ178" s="5"/>
      <c r="BA178" s="5"/>
      <c r="BB178" s="6"/>
      <c r="BC178" s="6"/>
      <c r="BD178" s="6"/>
      <c r="BE178" s="6"/>
      <c r="BF178" s="5"/>
      <c r="BG178" s="5"/>
      <c r="BH178" s="6"/>
      <c r="BI178" s="6"/>
      <c r="BJ178" s="6"/>
      <c r="BK178" s="6"/>
      <c r="BL178" s="6"/>
      <c r="BM178" s="6"/>
      <c r="BN178" s="6"/>
      <c r="BO178" s="6"/>
      <c r="BP178" s="6"/>
      <c r="BQ178" s="6"/>
    </row>
    <row r="179" spans="1:69" ht="28.8" x14ac:dyDescent="0.3">
      <c r="A179" s="129"/>
      <c r="B179" s="63">
        <v>176</v>
      </c>
      <c r="C179" s="55" t="s">
        <v>271</v>
      </c>
      <c r="D179" s="5" t="s">
        <v>4</v>
      </c>
      <c r="E179" s="5">
        <v>100</v>
      </c>
      <c r="F179" s="15" t="s">
        <v>270</v>
      </c>
      <c r="G179" s="8" t="s">
        <v>623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17">
        <v>0.66557999999999995</v>
      </c>
      <c r="AI179" s="17">
        <f t="shared" si="6"/>
        <v>66.557999999999993</v>
      </c>
      <c r="AJ179" s="5"/>
      <c r="AK179" s="5"/>
      <c r="AL179" s="5"/>
      <c r="AM179" s="5"/>
      <c r="AN179" s="5"/>
      <c r="AO179" s="45"/>
      <c r="AP179" s="6"/>
      <c r="AQ179" s="50"/>
      <c r="AR179" s="6"/>
      <c r="AS179" s="6"/>
      <c r="AT179" s="6"/>
      <c r="AU179" s="6"/>
      <c r="AV179" s="7"/>
      <c r="AW179" s="7"/>
      <c r="AX179" s="7"/>
      <c r="AY179" s="7"/>
      <c r="AZ179" s="5"/>
      <c r="BA179" s="5"/>
      <c r="BB179" s="6"/>
      <c r="BC179" s="6"/>
      <c r="BD179" s="6"/>
      <c r="BE179" s="6"/>
      <c r="BF179" s="5"/>
      <c r="BG179" s="5"/>
      <c r="BH179" s="6"/>
      <c r="BI179" s="6"/>
      <c r="BJ179" s="6"/>
      <c r="BK179" s="6"/>
      <c r="BL179" s="6"/>
      <c r="BM179" s="6"/>
      <c r="BN179" s="6"/>
      <c r="BO179" s="6"/>
      <c r="BP179" s="6"/>
      <c r="BQ179" s="6"/>
    </row>
    <row r="180" spans="1:69" ht="28.8" x14ac:dyDescent="0.3">
      <c r="A180" s="129"/>
      <c r="B180" s="63">
        <v>177</v>
      </c>
      <c r="C180" s="57" t="s">
        <v>641</v>
      </c>
      <c r="D180" s="5" t="s">
        <v>4</v>
      </c>
      <c r="E180" s="5">
        <v>100</v>
      </c>
      <c r="F180" s="15" t="s">
        <v>272</v>
      </c>
      <c r="G180" s="8" t="s">
        <v>623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17">
        <v>0.32789000000000001</v>
      </c>
      <c r="AI180" s="17">
        <f t="shared" si="6"/>
        <v>32.789000000000001</v>
      </c>
      <c r="AJ180" s="5"/>
      <c r="AK180" s="5"/>
      <c r="AL180" s="5"/>
      <c r="AM180" s="5"/>
      <c r="AN180" s="5"/>
      <c r="AO180" s="45"/>
      <c r="AP180" s="6"/>
      <c r="AQ180" s="50"/>
      <c r="AR180" s="6"/>
      <c r="AS180" s="6"/>
      <c r="AT180" s="6"/>
      <c r="AU180" s="6"/>
      <c r="AV180" s="7"/>
      <c r="AW180" s="7"/>
      <c r="AX180" s="7"/>
      <c r="AY180" s="7"/>
      <c r="AZ180" s="5"/>
      <c r="BA180" s="5"/>
      <c r="BB180" s="6"/>
      <c r="BC180" s="6"/>
      <c r="BD180" s="6"/>
      <c r="BE180" s="6"/>
      <c r="BF180" s="5"/>
      <c r="BG180" s="5"/>
      <c r="BH180" s="6"/>
      <c r="BI180" s="6"/>
      <c r="BJ180" s="6"/>
      <c r="BK180" s="6"/>
      <c r="BL180" s="6"/>
      <c r="BM180" s="6"/>
      <c r="BN180" s="6"/>
      <c r="BO180" s="6"/>
      <c r="BP180" s="6"/>
      <c r="BQ180" s="6"/>
    </row>
    <row r="181" spans="1:69" ht="28.8" x14ac:dyDescent="0.3">
      <c r="A181" s="129"/>
      <c r="B181" s="63">
        <v>178</v>
      </c>
      <c r="C181" s="55" t="s">
        <v>640</v>
      </c>
      <c r="D181" s="5" t="s">
        <v>4</v>
      </c>
      <c r="E181" s="5">
        <v>100</v>
      </c>
      <c r="F181" s="15" t="s">
        <v>273</v>
      </c>
      <c r="G181" s="8" t="s">
        <v>623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17">
        <v>0.57074000000000003</v>
      </c>
      <c r="AI181" s="17">
        <f t="shared" si="6"/>
        <v>57.074000000000005</v>
      </c>
      <c r="AJ181" s="5"/>
      <c r="AK181" s="5"/>
      <c r="AL181" s="5"/>
      <c r="AM181" s="5"/>
      <c r="AN181" s="5"/>
      <c r="AO181" s="45"/>
      <c r="AP181" s="6"/>
      <c r="AQ181" s="50"/>
      <c r="AR181" s="6"/>
      <c r="AS181" s="6"/>
      <c r="AT181" s="6"/>
      <c r="AU181" s="6"/>
      <c r="AV181" s="7"/>
      <c r="AW181" s="7"/>
      <c r="AX181" s="7"/>
      <c r="AY181" s="7"/>
      <c r="AZ181" s="5"/>
      <c r="BA181" s="5"/>
      <c r="BB181" s="6"/>
      <c r="BC181" s="6"/>
      <c r="BD181" s="6"/>
      <c r="BE181" s="6"/>
      <c r="BF181" s="5"/>
      <c r="BG181" s="5"/>
      <c r="BH181" s="6"/>
      <c r="BI181" s="6"/>
      <c r="BJ181" s="6"/>
      <c r="BK181" s="6"/>
      <c r="BL181" s="6"/>
      <c r="BM181" s="6"/>
      <c r="BN181" s="6"/>
      <c r="BO181" s="6"/>
      <c r="BP181" s="6"/>
      <c r="BQ181" s="6"/>
    </row>
    <row r="182" spans="1:69" ht="30" x14ac:dyDescent="0.3">
      <c r="A182" s="129"/>
      <c r="B182" s="63">
        <v>179</v>
      </c>
      <c r="C182" s="79" t="s">
        <v>275</v>
      </c>
      <c r="D182" s="5" t="s">
        <v>4</v>
      </c>
      <c r="E182" s="5">
        <v>15</v>
      </c>
      <c r="F182" s="15" t="s">
        <v>274</v>
      </c>
      <c r="G182" s="8" t="s">
        <v>623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17">
        <v>14.17</v>
      </c>
      <c r="U182" s="17">
        <f>T182*E182</f>
        <v>212.55</v>
      </c>
      <c r="V182" s="6"/>
      <c r="W182" s="6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45"/>
      <c r="AP182" s="6"/>
      <c r="AQ182" s="50"/>
      <c r="AR182" s="6"/>
      <c r="AS182" s="6"/>
      <c r="AT182" s="6"/>
      <c r="AU182" s="6"/>
      <c r="AV182" s="7"/>
      <c r="AW182" s="7"/>
      <c r="AX182" s="7"/>
      <c r="AY182" s="7"/>
      <c r="AZ182" s="5"/>
      <c r="BA182" s="5"/>
      <c r="BB182" s="6"/>
      <c r="BC182" s="6"/>
      <c r="BD182" s="6"/>
      <c r="BE182" s="6"/>
      <c r="BF182" s="5"/>
      <c r="BG182" s="5"/>
      <c r="BH182" s="6"/>
      <c r="BI182" s="6"/>
      <c r="BJ182" s="6"/>
      <c r="BK182" s="6"/>
      <c r="BL182" s="6"/>
      <c r="BM182" s="6"/>
      <c r="BN182" s="6"/>
      <c r="BO182" s="6"/>
      <c r="BP182" s="6"/>
      <c r="BQ182" s="6"/>
    </row>
    <row r="183" spans="1:69" ht="28.8" x14ac:dyDescent="0.3">
      <c r="A183" s="129"/>
      <c r="B183" s="63">
        <v>180</v>
      </c>
      <c r="C183" s="55" t="s">
        <v>277</v>
      </c>
      <c r="D183" s="5" t="s">
        <v>4</v>
      </c>
      <c r="E183" s="5">
        <v>15</v>
      </c>
      <c r="F183" s="15" t="s">
        <v>276</v>
      </c>
      <c r="G183" s="8" t="s">
        <v>623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17">
        <v>5.6914100000000003</v>
      </c>
      <c r="AI183" s="17">
        <f t="shared" ref="AI183:AI190" si="7">AH183*E183</f>
        <v>85.37115</v>
      </c>
      <c r="AJ183" s="5"/>
      <c r="AK183" s="5"/>
      <c r="AL183" s="5"/>
      <c r="AM183" s="5"/>
      <c r="AN183" s="5"/>
      <c r="AO183" s="45"/>
      <c r="AP183" s="6"/>
      <c r="AQ183" s="50"/>
      <c r="AR183" s="6"/>
      <c r="AS183" s="6"/>
      <c r="AT183" s="6"/>
      <c r="AU183" s="6"/>
      <c r="AV183" s="7"/>
      <c r="AW183" s="7"/>
      <c r="AX183" s="7"/>
      <c r="AY183" s="7"/>
      <c r="AZ183" s="5"/>
      <c r="BA183" s="5"/>
      <c r="BB183" s="6"/>
      <c r="BC183" s="6"/>
      <c r="BD183" s="6"/>
      <c r="BE183" s="6"/>
      <c r="BF183" s="5"/>
      <c r="BG183" s="5"/>
      <c r="BH183" s="6"/>
      <c r="BI183" s="6"/>
      <c r="BJ183" s="6"/>
      <c r="BK183" s="6"/>
      <c r="BL183" s="6"/>
      <c r="BM183" s="6"/>
      <c r="BN183" s="6"/>
      <c r="BO183" s="6"/>
      <c r="BP183" s="6"/>
      <c r="BQ183" s="6"/>
    </row>
    <row r="184" spans="1:69" ht="41.4" x14ac:dyDescent="0.3">
      <c r="A184" s="129"/>
      <c r="B184" s="63">
        <v>181</v>
      </c>
      <c r="C184" s="57" t="s">
        <v>279</v>
      </c>
      <c r="D184" s="5" t="s">
        <v>4</v>
      </c>
      <c r="E184" s="5">
        <v>100</v>
      </c>
      <c r="F184" s="15" t="s">
        <v>278</v>
      </c>
      <c r="G184" s="8" t="s">
        <v>623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17">
        <v>1.27643</v>
      </c>
      <c r="AI184" s="17">
        <f t="shared" si="7"/>
        <v>127.643</v>
      </c>
      <c r="AJ184" s="5"/>
      <c r="AK184" s="5"/>
      <c r="AL184" s="5"/>
      <c r="AM184" s="5"/>
      <c r="AN184" s="5"/>
      <c r="AO184" s="45"/>
      <c r="AP184" s="6"/>
      <c r="AQ184" s="50"/>
      <c r="AR184" s="6"/>
      <c r="AS184" s="6"/>
      <c r="AT184" s="6"/>
      <c r="AU184" s="6"/>
      <c r="AV184" s="7"/>
      <c r="AW184" s="7"/>
      <c r="AX184" s="7"/>
      <c r="AY184" s="7"/>
      <c r="AZ184" s="5"/>
      <c r="BA184" s="5"/>
      <c r="BB184" s="6"/>
      <c r="BC184" s="6"/>
      <c r="BD184" s="6"/>
      <c r="BE184" s="6"/>
      <c r="BF184" s="5"/>
      <c r="BG184" s="5"/>
      <c r="BH184" s="6"/>
      <c r="BI184" s="6"/>
      <c r="BJ184" s="6"/>
      <c r="BK184" s="6"/>
      <c r="BL184" s="6"/>
      <c r="BM184" s="6"/>
      <c r="BN184" s="6"/>
      <c r="BO184" s="6"/>
      <c r="BP184" s="6"/>
      <c r="BQ184" s="6"/>
    </row>
    <row r="185" spans="1:69" ht="28.8" x14ac:dyDescent="0.3">
      <c r="A185" s="129"/>
      <c r="B185" s="63">
        <v>182</v>
      </c>
      <c r="C185" s="55" t="s">
        <v>281</v>
      </c>
      <c r="D185" s="5" t="s">
        <v>4</v>
      </c>
      <c r="E185" s="5">
        <v>100</v>
      </c>
      <c r="F185" s="15" t="s">
        <v>280</v>
      </c>
      <c r="G185" s="8" t="s">
        <v>623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17">
        <v>0.42541000000000001</v>
      </c>
      <c r="AI185" s="17">
        <f t="shared" si="7"/>
        <v>42.541000000000004</v>
      </c>
      <c r="AJ185" s="5"/>
      <c r="AK185" s="5"/>
      <c r="AL185" s="5"/>
      <c r="AM185" s="5"/>
      <c r="AN185" s="5"/>
      <c r="AO185" s="45"/>
      <c r="AP185" s="6"/>
      <c r="AQ185" s="50"/>
      <c r="AR185" s="6"/>
      <c r="AS185" s="6"/>
      <c r="AT185" s="6"/>
      <c r="AU185" s="6"/>
      <c r="AV185" s="7"/>
      <c r="AW185" s="7"/>
      <c r="AX185" s="7"/>
      <c r="AY185" s="7"/>
      <c r="AZ185" s="5"/>
      <c r="BA185" s="5"/>
      <c r="BB185" s="6"/>
      <c r="BC185" s="6"/>
      <c r="BD185" s="6"/>
      <c r="BE185" s="6"/>
      <c r="BF185" s="5"/>
      <c r="BG185" s="5"/>
      <c r="BH185" s="6"/>
      <c r="BI185" s="6"/>
      <c r="BJ185" s="6"/>
      <c r="BK185" s="6"/>
      <c r="BL185" s="6"/>
      <c r="BM185" s="6"/>
      <c r="BN185" s="6"/>
      <c r="BO185" s="6"/>
      <c r="BP185" s="6"/>
      <c r="BQ185" s="6"/>
    </row>
    <row r="186" spans="1:69" ht="43.2" x14ac:dyDescent="0.3">
      <c r="A186" s="129"/>
      <c r="B186" s="63">
        <v>183</v>
      </c>
      <c r="C186" s="57" t="s">
        <v>283</v>
      </c>
      <c r="D186" s="5" t="s">
        <v>4</v>
      </c>
      <c r="E186" s="5">
        <v>100</v>
      </c>
      <c r="F186" s="15" t="s">
        <v>282</v>
      </c>
      <c r="G186" s="8" t="s">
        <v>623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17">
        <v>1.1668499999999999</v>
      </c>
      <c r="AI186" s="17">
        <f t="shared" si="7"/>
        <v>116.68499999999999</v>
      </c>
      <c r="AJ186" s="5"/>
      <c r="AK186" s="5"/>
      <c r="AL186" s="5"/>
      <c r="AM186" s="5"/>
      <c r="AN186" s="5"/>
      <c r="AO186" s="45"/>
      <c r="AP186" s="6"/>
      <c r="AQ186" s="50"/>
      <c r="AR186" s="6"/>
      <c r="AS186" s="6"/>
      <c r="AT186" s="6"/>
      <c r="AU186" s="6"/>
      <c r="AV186" s="7"/>
      <c r="AW186" s="7"/>
      <c r="AX186" s="7"/>
      <c r="AY186" s="7"/>
      <c r="AZ186" s="5"/>
      <c r="BA186" s="5"/>
      <c r="BB186" s="6"/>
      <c r="BC186" s="6"/>
      <c r="BD186" s="6"/>
      <c r="BE186" s="6"/>
      <c r="BF186" s="5"/>
      <c r="BG186" s="5"/>
      <c r="BH186" s="6"/>
      <c r="BI186" s="6"/>
      <c r="BJ186" s="6"/>
      <c r="BK186" s="6"/>
      <c r="BL186" s="6"/>
      <c r="BM186" s="6"/>
      <c r="BN186" s="6"/>
      <c r="BO186" s="6"/>
      <c r="BP186" s="6"/>
      <c r="BQ186" s="6"/>
    </row>
    <row r="187" spans="1:69" ht="28.8" x14ac:dyDescent="0.3">
      <c r="A187" s="129"/>
      <c r="B187" s="63">
        <v>184</v>
      </c>
      <c r="C187" s="55" t="s">
        <v>285</v>
      </c>
      <c r="D187" s="5" t="s">
        <v>4</v>
      </c>
      <c r="E187" s="5">
        <v>15</v>
      </c>
      <c r="F187" s="15" t="s">
        <v>284</v>
      </c>
      <c r="G187" s="8" t="s">
        <v>623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17">
        <v>12.3424</v>
      </c>
      <c r="AI187" s="17">
        <f t="shared" si="7"/>
        <v>185.136</v>
      </c>
      <c r="AJ187" s="5"/>
      <c r="AK187" s="5"/>
      <c r="AL187" s="5"/>
      <c r="AM187" s="5"/>
      <c r="AN187" s="5"/>
      <c r="AO187" s="45"/>
      <c r="AP187" s="6"/>
      <c r="AQ187" s="50"/>
      <c r="AR187" s="6"/>
      <c r="AS187" s="6"/>
      <c r="AT187" s="6"/>
      <c r="AU187" s="6"/>
      <c r="AV187" s="7"/>
      <c r="AW187" s="7"/>
      <c r="AX187" s="7"/>
      <c r="AY187" s="7"/>
      <c r="AZ187" s="5"/>
      <c r="BA187" s="5"/>
      <c r="BB187" s="6"/>
      <c r="BC187" s="6"/>
      <c r="BD187" s="6"/>
      <c r="BE187" s="6"/>
      <c r="BF187" s="5"/>
      <c r="BG187" s="5"/>
      <c r="BH187" s="6"/>
      <c r="BI187" s="6"/>
      <c r="BJ187" s="6"/>
      <c r="BK187" s="6"/>
      <c r="BL187" s="6"/>
      <c r="BM187" s="6"/>
      <c r="BN187" s="6"/>
      <c r="BO187" s="6"/>
      <c r="BP187" s="6"/>
      <c r="BQ187" s="6"/>
    </row>
    <row r="188" spans="1:69" ht="28.8" x14ac:dyDescent="0.3">
      <c r="A188" s="129"/>
      <c r="B188" s="63">
        <v>185</v>
      </c>
      <c r="C188" s="57" t="s">
        <v>287</v>
      </c>
      <c r="D188" s="5" t="s">
        <v>4</v>
      </c>
      <c r="E188" s="5">
        <v>20</v>
      </c>
      <c r="F188" s="15" t="s">
        <v>286</v>
      </c>
      <c r="G188" s="8" t="s">
        <v>623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17">
        <v>2.2517800000000001</v>
      </c>
      <c r="AI188" s="17">
        <f t="shared" si="7"/>
        <v>45.035600000000002</v>
      </c>
      <c r="AJ188" s="5"/>
      <c r="AK188" s="5"/>
      <c r="AL188" s="5"/>
      <c r="AM188" s="5"/>
      <c r="AN188" s="5"/>
      <c r="AO188" s="45"/>
      <c r="AP188" s="6"/>
      <c r="AQ188" s="50"/>
      <c r="AR188" s="6"/>
      <c r="AS188" s="6"/>
      <c r="AT188" s="6"/>
      <c r="AU188" s="6"/>
      <c r="AV188" s="7"/>
      <c r="AW188" s="7"/>
      <c r="AX188" s="7"/>
      <c r="AY188" s="7"/>
      <c r="AZ188" s="5"/>
      <c r="BA188" s="5"/>
      <c r="BB188" s="6"/>
      <c r="BC188" s="6"/>
      <c r="BD188" s="6"/>
      <c r="BE188" s="6"/>
      <c r="BF188" s="5"/>
      <c r="BG188" s="5"/>
      <c r="BH188" s="6"/>
      <c r="BI188" s="6"/>
      <c r="BJ188" s="6"/>
      <c r="BK188" s="6"/>
      <c r="BL188" s="6"/>
      <c r="BM188" s="6"/>
      <c r="BN188" s="6"/>
      <c r="BO188" s="6"/>
      <c r="BP188" s="6"/>
      <c r="BQ188" s="6"/>
    </row>
    <row r="189" spans="1:69" ht="28.8" x14ac:dyDescent="0.3">
      <c r="A189" s="129"/>
      <c r="B189" s="63">
        <v>186</v>
      </c>
      <c r="C189" s="55" t="s">
        <v>289</v>
      </c>
      <c r="D189" s="5" t="s">
        <v>4</v>
      </c>
      <c r="E189" s="5">
        <v>10</v>
      </c>
      <c r="F189" s="15" t="s">
        <v>288</v>
      </c>
      <c r="G189" s="8" t="s">
        <v>623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17">
        <v>12.673299999999999</v>
      </c>
      <c r="AI189" s="17">
        <f t="shared" si="7"/>
        <v>126.73299999999999</v>
      </c>
      <c r="AJ189" s="5"/>
      <c r="AK189" s="5"/>
      <c r="AL189" s="5"/>
      <c r="AM189" s="5"/>
      <c r="AN189" s="5"/>
      <c r="AO189" s="45"/>
      <c r="AP189" s="6"/>
      <c r="AQ189" s="50"/>
      <c r="AR189" s="6"/>
      <c r="AS189" s="6"/>
      <c r="AT189" s="6"/>
      <c r="AU189" s="6"/>
      <c r="AV189" s="7"/>
      <c r="AW189" s="7"/>
      <c r="AX189" s="7"/>
      <c r="AY189" s="7"/>
      <c r="AZ189" s="5"/>
      <c r="BA189" s="5"/>
      <c r="BB189" s="6"/>
      <c r="BC189" s="6"/>
      <c r="BD189" s="6"/>
      <c r="BE189" s="6"/>
      <c r="BF189" s="5"/>
      <c r="BG189" s="5"/>
      <c r="BH189" s="6"/>
      <c r="BI189" s="6"/>
      <c r="BJ189" s="6"/>
      <c r="BK189" s="6"/>
      <c r="BL189" s="6"/>
      <c r="BM189" s="6"/>
      <c r="BN189" s="6"/>
      <c r="BO189" s="6"/>
      <c r="BP189" s="6"/>
      <c r="BQ189" s="6"/>
    </row>
    <row r="190" spans="1:69" ht="41.4" x14ac:dyDescent="0.3">
      <c r="A190" s="129"/>
      <c r="B190" s="63">
        <v>187</v>
      </c>
      <c r="C190" s="57" t="s">
        <v>291</v>
      </c>
      <c r="D190" s="5" t="s">
        <v>4</v>
      </c>
      <c r="E190" s="5">
        <v>10</v>
      </c>
      <c r="F190" s="15" t="s">
        <v>290</v>
      </c>
      <c r="G190" s="8" t="s">
        <v>623</v>
      </c>
      <c r="H190" s="6" t="s">
        <v>992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17">
        <v>78.575100000000006</v>
      </c>
      <c r="AI190" s="17">
        <f t="shared" si="7"/>
        <v>785.75100000000009</v>
      </c>
      <c r="AJ190" s="5"/>
      <c r="AK190" s="5"/>
      <c r="AL190" s="5"/>
      <c r="AM190" s="5"/>
      <c r="AN190" s="5"/>
      <c r="AO190" s="45"/>
      <c r="AP190" s="6"/>
      <c r="AQ190" s="50"/>
      <c r="AR190" s="6"/>
      <c r="AS190" s="6"/>
      <c r="AT190" s="6"/>
      <c r="AU190" s="6"/>
      <c r="AV190" s="7"/>
      <c r="AW190" s="7"/>
      <c r="AX190" s="7"/>
      <c r="AY190" s="7"/>
      <c r="AZ190" s="5"/>
      <c r="BA190" s="5"/>
      <c r="BB190" s="6"/>
      <c r="BC190" s="6"/>
      <c r="BD190" s="6"/>
      <c r="BE190" s="6"/>
      <c r="BF190" s="5"/>
      <c r="BG190" s="5"/>
      <c r="BH190" s="6"/>
      <c r="BI190" s="6"/>
      <c r="BJ190" s="6"/>
      <c r="BK190" s="6"/>
      <c r="BL190" s="6"/>
      <c r="BM190" s="6"/>
      <c r="BN190" s="6"/>
      <c r="BO190" s="6"/>
      <c r="BP190" s="6"/>
      <c r="BQ190" s="6"/>
    </row>
    <row r="191" spans="1:69" ht="28.8" x14ac:dyDescent="0.3">
      <c r="A191" s="129"/>
      <c r="B191" s="63">
        <v>188</v>
      </c>
      <c r="C191" s="55" t="s">
        <v>293</v>
      </c>
      <c r="D191" s="5" t="s">
        <v>4</v>
      </c>
      <c r="E191" s="5">
        <v>36</v>
      </c>
      <c r="F191" s="15" t="s">
        <v>292</v>
      </c>
      <c r="G191" s="8" t="s">
        <v>623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45"/>
      <c r="AP191" s="6"/>
      <c r="AQ191" s="50"/>
      <c r="AR191" s="17">
        <v>380.63</v>
      </c>
      <c r="AS191" s="17">
        <f>AR191*E191</f>
        <v>13702.68</v>
      </c>
      <c r="AT191" s="6"/>
      <c r="AU191" s="6"/>
      <c r="AV191" s="7"/>
      <c r="AW191" s="7"/>
      <c r="AX191" s="7"/>
      <c r="AY191" s="7"/>
      <c r="AZ191" s="5"/>
      <c r="BA191" s="5"/>
      <c r="BB191" s="6"/>
      <c r="BC191" s="6"/>
      <c r="BD191" s="6"/>
      <c r="BE191" s="6"/>
      <c r="BF191" s="5"/>
      <c r="BG191" s="5"/>
      <c r="BH191" s="6"/>
      <c r="BI191" s="6"/>
      <c r="BJ191" s="6"/>
      <c r="BK191" s="6"/>
      <c r="BL191" s="6"/>
      <c r="BM191" s="6"/>
      <c r="BN191" s="6"/>
      <c r="BO191" s="6"/>
      <c r="BP191" s="6"/>
      <c r="BQ191" s="6"/>
    </row>
    <row r="192" spans="1:69" ht="28.8" x14ac:dyDescent="0.3">
      <c r="A192" s="129"/>
      <c r="B192" s="63">
        <v>189</v>
      </c>
      <c r="C192" s="57" t="s">
        <v>295</v>
      </c>
      <c r="D192" s="5" t="s">
        <v>4</v>
      </c>
      <c r="E192" s="5">
        <v>25</v>
      </c>
      <c r="F192" s="15" t="s">
        <v>294</v>
      </c>
      <c r="G192" s="8" t="s">
        <v>623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17">
        <v>0.76576999999999995</v>
      </c>
      <c r="AI192" s="17">
        <f t="shared" ref="AI192:AI211" si="8">AH192*E192</f>
        <v>19.14425</v>
      </c>
      <c r="AJ192" s="5"/>
      <c r="AK192" s="5"/>
      <c r="AL192" s="5"/>
      <c r="AM192" s="5"/>
      <c r="AN192" s="5"/>
      <c r="AO192" s="45"/>
      <c r="AP192" s="6"/>
      <c r="AQ192" s="50"/>
      <c r="AR192" s="6"/>
      <c r="AS192" s="5"/>
      <c r="AT192" s="6"/>
      <c r="AU192" s="6"/>
      <c r="AV192" s="7"/>
      <c r="AW192" s="7"/>
      <c r="AX192" s="7"/>
      <c r="AY192" s="7"/>
      <c r="AZ192" s="5"/>
      <c r="BA192" s="5"/>
      <c r="BB192" s="6"/>
      <c r="BC192" s="6"/>
      <c r="BD192" s="6"/>
      <c r="BE192" s="6"/>
      <c r="BF192" s="5"/>
      <c r="BG192" s="5"/>
      <c r="BH192" s="6"/>
      <c r="BI192" s="6"/>
      <c r="BJ192" s="6"/>
      <c r="BK192" s="6"/>
      <c r="BL192" s="6"/>
      <c r="BM192" s="6"/>
      <c r="BN192" s="6"/>
      <c r="BO192" s="6"/>
      <c r="BP192" s="6"/>
      <c r="BQ192" s="6"/>
    </row>
    <row r="193" spans="1:69" ht="28.8" x14ac:dyDescent="0.3">
      <c r="A193" s="129"/>
      <c r="B193" s="63">
        <v>190</v>
      </c>
      <c r="C193" s="55" t="s">
        <v>639</v>
      </c>
      <c r="D193" s="5" t="s">
        <v>4</v>
      </c>
      <c r="E193" s="5">
        <v>100</v>
      </c>
      <c r="F193" s="15" t="s">
        <v>296</v>
      </c>
      <c r="G193" s="8" t="s">
        <v>623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17">
        <v>9.7460000000000005E-2</v>
      </c>
      <c r="AI193" s="17">
        <f t="shared" si="8"/>
        <v>9.7460000000000004</v>
      </c>
      <c r="AJ193" s="5"/>
      <c r="AK193" s="5"/>
      <c r="AL193" s="5"/>
      <c r="AM193" s="5"/>
      <c r="AN193" s="5"/>
      <c r="AO193" s="45"/>
      <c r="AP193" s="6"/>
      <c r="AQ193" s="50"/>
      <c r="AR193" s="6"/>
      <c r="AS193" s="6"/>
      <c r="AT193" s="6"/>
      <c r="AU193" s="6"/>
      <c r="AV193" s="7"/>
      <c r="AW193" s="7"/>
      <c r="AX193" s="7"/>
      <c r="AY193" s="7"/>
      <c r="AZ193" s="5"/>
      <c r="BA193" s="5"/>
      <c r="BB193" s="6"/>
      <c r="BC193" s="6"/>
      <c r="BD193" s="6"/>
      <c r="BE193" s="6"/>
      <c r="BF193" s="5"/>
      <c r="BG193" s="5"/>
      <c r="BH193" s="6"/>
      <c r="BI193" s="6"/>
      <c r="BJ193" s="6"/>
      <c r="BK193" s="6"/>
      <c r="BL193" s="6"/>
      <c r="BM193" s="6"/>
      <c r="BN193" s="6"/>
      <c r="BO193" s="6"/>
      <c r="BP193" s="6"/>
      <c r="BQ193" s="6"/>
    </row>
    <row r="194" spans="1:69" ht="28.8" x14ac:dyDescent="0.3">
      <c r="A194" s="129"/>
      <c r="B194" s="63">
        <v>191</v>
      </c>
      <c r="C194" s="57" t="s">
        <v>638</v>
      </c>
      <c r="D194" s="5" t="s">
        <v>4</v>
      </c>
      <c r="E194" s="5">
        <v>100</v>
      </c>
      <c r="F194" s="15" t="s">
        <v>297</v>
      </c>
      <c r="G194" s="8" t="s">
        <v>623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17">
        <v>0.97460000000000002</v>
      </c>
      <c r="AI194" s="17">
        <f t="shared" si="8"/>
        <v>97.460000000000008</v>
      </c>
      <c r="AJ194" s="5"/>
      <c r="AK194" s="5"/>
      <c r="AL194" s="5"/>
      <c r="AM194" s="5"/>
      <c r="AN194" s="5"/>
      <c r="AO194" s="45"/>
      <c r="AP194" s="6"/>
      <c r="AQ194" s="50"/>
      <c r="AR194" s="6"/>
      <c r="AS194" s="6"/>
      <c r="AT194" s="6"/>
      <c r="AU194" s="6"/>
      <c r="AV194" s="7"/>
      <c r="AW194" s="7"/>
      <c r="AX194" s="7"/>
      <c r="AY194" s="7"/>
      <c r="AZ194" s="5"/>
      <c r="BA194" s="5"/>
      <c r="BB194" s="6"/>
      <c r="BC194" s="6"/>
      <c r="BD194" s="6"/>
      <c r="BE194" s="6"/>
      <c r="BF194" s="5"/>
      <c r="BG194" s="5"/>
      <c r="BH194" s="6"/>
      <c r="BI194" s="6"/>
      <c r="BJ194" s="6"/>
      <c r="BK194" s="6"/>
      <c r="BL194" s="6"/>
      <c r="BM194" s="6"/>
      <c r="BN194" s="6"/>
      <c r="BO194" s="6"/>
      <c r="BP194" s="6"/>
      <c r="BQ194" s="6"/>
    </row>
    <row r="195" spans="1:69" ht="28.8" x14ac:dyDescent="0.3">
      <c r="A195" s="129"/>
      <c r="B195" s="63">
        <v>192</v>
      </c>
      <c r="C195" s="55" t="s">
        <v>637</v>
      </c>
      <c r="D195" s="5" t="s">
        <v>4</v>
      </c>
      <c r="E195" s="5">
        <v>100</v>
      </c>
      <c r="F195" s="15" t="s">
        <v>298</v>
      </c>
      <c r="G195" s="8" t="s">
        <v>623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17">
        <v>7.0870000000000002E-2</v>
      </c>
      <c r="AI195" s="17">
        <f t="shared" si="8"/>
        <v>7.0870000000000006</v>
      </c>
      <c r="AJ195" s="5"/>
      <c r="AK195" s="5"/>
      <c r="AL195" s="5"/>
      <c r="AM195" s="5"/>
      <c r="AN195" s="5"/>
      <c r="AO195" s="45"/>
      <c r="AP195" s="6"/>
      <c r="AQ195" s="50"/>
      <c r="AR195" s="6"/>
      <c r="AS195" s="6"/>
      <c r="AT195" s="6"/>
      <c r="AU195" s="6"/>
      <c r="AV195" s="7"/>
      <c r="AW195" s="7"/>
      <c r="AX195" s="7"/>
      <c r="AY195" s="7"/>
      <c r="AZ195" s="5"/>
      <c r="BA195" s="5"/>
      <c r="BB195" s="6"/>
      <c r="BC195" s="6"/>
      <c r="BD195" s="6"/>
      <c r="BE195" s="6"/>
      <c r="BF195" s="5"/>
      <c r="BG195" s="5"/>
      <c r="BH195" s="6"/>
      <c r="BI195" s="6"/>
      <c r="BJ195" s="6"/>
      <c r="BK195" s="6"/>
      <c r="BL195" s="6"/>
      <c r="BM195" s="6"/>
      <c r="BN195" s="6"/>
      <c r="BO195" s="6"/>
      <c r="BP195" s="6"/>
      <c r="BQ195" s="6"/>
    </row>
    <row r="196" spans="1:69" ht="28.8" x14ac:dyDescent="0.3">
      <c r="A196" s="129"/>
      <c r="B196" s="63">
        <v>193</v>
      </c>
      <c r="C196" s="57" t="s">
        <v>636</v>
      </c>
      <c r="D196" s="5" t="s">
        <v>4</v>
      </c>
      <c r="E196" s="5">
        <v>100</v>
      </c>
      <c r="F196" s="15" t="s">
        <v>299</v>
      </c>
      <c r="G196" s="8" t="s">
        <v>623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7">
        <v>5.9060000000000001E-2</v>
      </c>
      <c r="AI196" s="17">
        <f t="shared" si="8"/>
        <v>5.9060000000000006</v>
      </c>
      <c r="AJ196" s="5"/>
      <c r="AK196" s="5"/>
      <c r="AL196" s="5"/>
      <c r="AM196" s="5"/>
      <c r="AN196" s="5"/>
      <c r="AO196" s="45"/>
      <c r="AP196" s="6"/>
      <c r="AQ196" s="50"/>
      <c r="AR196" s="6"/>
      <c r="AS196" s="6"/>
      <c r="AT196" s="6"/>
      <c r="AU196" s="6"/>
      <c r="AV196" s="7"/>
      <c r="AW196" s="7"/>
      <c r="AX196" s="7"/>
      <c r="AY196" s="7"/>
      <c r="AZ196" s="5"/>
      <c r="BA196" s="5"/>
      <c r="BB196" s="6"/>
      <c r="BC196" s="6"/>
      <c r="BD196" s="6"/>
      <c r="BE196" s="6"/>
      <c r="BF196" s="5"/>
      <c r="BG196" s="5"/>
      <c r="BH196" s="6"/>
      <c r="BI196" s="6"/>
      <c r="BJ196" s="6"/>
      <c r="BK196" s="6"/>
      <c r="BL196" s="6"/>
      <c r="BM196" s="6"/>
      <c r="BN196" s="6"/>
      <c r="BO196" s="6"/>
      <c r="BP196" s="6"/>
      <c r="BQ196" s="6"/>
    </row>
    <row r="197" spans="1:69" ht="28.8" x14ac:dyDescent="0.3">
      <c r="A197" s="129"/>
      <c r="B197" s="63">
        <v>194</v>
      </c>
      <c r="C197" s="55" t="s">
        <v>635</v>
      </c>
      <c r="D197" s="5" t="s">
        <v>4</v>
      </c>
      <c r="E197" s="5">
        <v>100</v>
      </c>
      <c r="F197" s="15" t="s">
        <v>301</v>
      </c>
      <c r="G197" s="8" t="s">
        <v>623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17">
        <v>0.11457000000000001</v>
      </c>
      <c r="AI197" s="17">
        <f t="shared" si="8"/>
        <v>11.457000000000001</v>
      </c>
      <c r="AJ197" s="5"/>
      <c r="AK197" s="5"/>
      <c r="AL197" s="5"/>
      <c r="AM197" s="5"/>
      <c r="AN197" s="5"/>
      <c r="AO197" s="45"/>
      <c r="AP197" s="6"/>
      <c r="AQ197" s="50"/>
      <c r="AR197" s="6"/>
      <c r="AS197" s="6"/>
      <c r="AT197" s="6"/>
      <c r="AU197" s="6"/>
      <c r="AV197" s="7"/>
      <c r="AW197" s="7"/>
      <c r="AX197" s="7"/>
      <c r="AY197" s="7"/>
      <c r="AZ197" s="5"/>
      <c r="BA197" s="5"/>
      <c r="BB197" s="6"/>
      <c r="BC197" s="6"/>
      <c r="BD197" s="6"/>
      <c r="BE197" s="6"/>
      <c r="BF197" s="5"/>
      <c r="BG197" s="5"/>
      <c r="BH197" s="6"/>
      <c r="BI197" s="6"/>
      <c r="BJ197" s="6"/>
      <c r="BK197" s="6"/>
      <c r="BL197" s="6"/>
      <c r="BM197" s="6"/>
      <c r="BN197" s="6"/>
      <c r="BO197" s="6"/>
      <c r="BP197" s="6"/>
      <c r="BQ197" s="6"/>
    </row>
    <row r="198" spans="1:69" ht="28.8" x14ac:dyDescent="0.3">
      <c r="A198" s="129"/>
      <c r="B198" s="63">
        <v>195</v>
      </c>
      <c r="C198" s="57" t="s">
        <v>634</v>
      </c>
      <c r="D198" s="5" t="s">
        <v>4</v>
      </c>
      <c r="E198" s="5">
        <v>100</v>
      </c>
      <c r="F198" s="15" t="s">
        <v>302</v>
      </c>
      <c r="G198" s="8" t="s">
        <v>623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17">
        <v>6.7330000000000001E-2</v>
      </c>
      <c r="AI198" s="17">
        <f t="shared" si="8"/>
        <v>6.7330000000000005</v>
      </c>
      <c r="AJ198" s="5"/>
      <c r="AK198" s="5"/>
      <c r="AL198" s="5"/>
      <c r="AM198" s="5"/>
      <c r="AN198" s="5"/>
      <c r="AO198" s="45"/>
      <c r="AP198" s="6"/>
      <c r="AQ198" s="50"/>
      <c r="AR198" s="6"/>
      <c r="AS198" s="6"/>
      <c r="AT198" s="6"/>
      <c r="AU198" s="6"/>
      <c r="AV198" s="7"/>
      <c r="AW198" s="7"/>
      <c r="AX198" s="7"/>
      <c r="AY198" s="7"/>
      <c r="AZ198" s="5"/>
      <c r="BA198" s="5"/>
      <c r="BB198" s="6"/>
      <c r="BC198" s="6"/>
      <c r="BD198" s="6"/>
      <c r="BE198" s="6"/>
      <c r="BF198" s="5"/>
      <c r="BG198" s="5"/>
      <c r="BH198" s="6"/>
      <c r="BI198" s="6"/>
      <c r="BJ198" s="6"/>
      <c r="BK198" s="6"/>
      <c r="BL198" s="6"/>
      <c r="BM198" s="6"/>
      <c r="BN198" s="6"/>
      <c r="BO198" s="6"/>
      <c r="BP198" s="6"/>
      <c r="BQ198" s="6"/>
    </row>
    <row r="199" spans="1:69" ht="28.8" x14ac:dyDescent="0.3">
      <c r="A199" s="129"/>
      <c r="B199" s="63">
        <v>196</v>
      </c>
      <c r="C199" s="57" t="s">
        <v>633</v>
      </c>
      <c r="D199" s="5" t="s">
        <v>4</v>
      </c>
      <c r="E199" s="5">
        <v>100</v>
      </c>
      <c r="F199" s="15" t="s">
        <v>303</v>
      </c>
      <c r="G199" s="8" t="s">
        <v>623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17">
        <v>9.7460000000000005E-2</v>
      </c>
      <c r="AI199" s="17">
        <f t="shared" si="8"/>
        <v>9.7460000000000004</v>
      </c>
      <c r="AJ199" s="5"/>
      <c r="AK199" s="5"/>
      <c r="AL199" s="5"/>
      <c r="AM199" s="5"/>
      <c r="AN199" s="5"/>
      <c r="AO199" s="45"/>
      <c r="AP199" s="6"/>
      <c r="AQ199" s="50"/>
      <c r="AR199" s="6"/>
      <c r="AS199" s="6"/>
      <c r="AT199" s="6"/>
      <c r="AU199" s="6"/>
      <c r="AV199" s="7"/>
      <c r="AW199" s="7"/>
      <c r="AX199" s="7"/>
      <c r="AY199" s="7"/>
      <c r="AZ199" s="5"/>
      <c r="BA199" s="5"/>
      <c r="BB199" s="6"/>
      <c r="BC199" s="6"/>
      <c r="BD199" s="6"/>
      <c r="BE199" s="6"/>
      <c r="BF199" s="5"/>
      <c r="BG199" s="5"/>
      <c r="BH199" s="6"/>
      <c r="BI199" s="6"/>
      <c r="BJ199" s="6"/>
      <c r="BK199" s="6"/>
      <c r="BL199" s="6"/>
      <c r="BM199" s="6"/>
      <c r="BN199" s="6"/>
      <c r="BO199" s="6"/>
      <c r="BP199" s="6"/>
      <c r="BQ199" s="6"/>
    </row>
    <row r="200" spans="1:69" ht="28.8" x14ac:dyDescent="0.3">
      <c r="A200" s="129"/>
      <c r="B200" s="63">
        <v>197</v>
      </c>
      <c r="C200" s="55" t="s">
        <v>632</v>
      </c>
      <c r="D200" s="5" t="s">
        <v>4</v>
      </c>
      <c r="E200" s="5">
        <v>20</v>
      </c>
      <c r="F200" s="15" t="s">
        <v>304</v>
      </c>
      <c r="G200" s="8" t="s">
        <v>623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17">
        <v>3.7869299999999999</v>
      </c>
      <c r="AI200" s="17">
        <f t="shared" si="8"/>
        <v>75.738599999999991</v>
      </c>
      <c r="AJ200" s="5"/>
      <c r="AK200" s="5"/>
      <c r="AL200" s="5"/>
      <c r="AM200" s="5"/>
      <c r="AN200" s="5"/>
      <c r="AO200" s="45"/>
      <c r="AP200" s="6"/>
      <c r="AQ200" s="50"/>
      <c r="AR200" s="6"/>
      <c r="AS200" s="6"/>
      <c r="AT200" s="6"/>
      <c r="AU200" s="6"/>
      <c r="AV200" s="7"/>
      <c r="AW200" s="7"/>
      <c r="AX200" s="7"/>
      <c r="AY200" s="7"/>
      <c r="AZ200" s="5"/>
      <c r="BA200" s="5"/>
      <c r="BB200" s="6"/>
      <c r="BC200" s="6"/>
      <c r="BD200" s="6"/>
      <c r="BE200" s="6"/>
      <c r="BF200" s="5"/>
      <c r="BG200" s="5"/>
      <c r="BH200" s="6"/>
      <c r="BI200" s="6"/>
      <c r="BJ200" s="6"/>
      <c r="BK200" s="6"/>
      <c r="BL200" s="6"/>
      <c r="BM200" s="6"/>
      <c r="BN200" s="6"/>
      <c r="BO200" s="6"/>
      <c r="BP200" s="6"/>
      <c r="BQ200" s="6"/>
    </row>
    <row r="201" spans="1:69" ht="28.8" x14ac:dyDescent="0.3">
      <c r="A201" s="129"/>
      <c r="B201" s="63">
        <v>198</v>
      </c>
      <c r="C201" s="57" t="s">
        <v>631</v>
      </c>
      <c r="D201" s="5" t="s">
        <v>4</v>
      </c>
      <c r="E201" s="5">
        <v>100</v>
      </c>
      <c r="F201" s="15" t="s">
        <v>305</v>
      </c>
      <c r="G201" s="8" t="s">
        <v>623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17">
        <v>0.11457000000000001</v>
      </c>
      <c r="AI201" s="17">
        <f t="shared" si="8"/>
        <v>11.457000000000001</v>
      </c>
      <c r="AJ201" s="5"/>
      <c r="AK201" s="5"/>
      <c r="AL201" s="5"/>
      <c r="AM201" s="5"/>
      <c r="AN201" s="5"/>
      <c r="AO201" s="45"/>
      <c r="AP201" s="6"/>
      <c r="AQ201" s="50"/>
      <c r="AR201" s="6"/>
      <c r="AS201" s="6"/>
      <c r="AT201" s="6"/>
      <c r="AU201" s="6"/>
      <c r="AV201" s="7"/>
      <c r="AW201" s="7"/>
      <c r="AX201" s="7"/>
      <c r="AY201" s="7"/>
      <c r="AZ201" s="5"/>
      <c r="BA201" s="5"/>
      <c r="BB201" s="6"/>
      <c r="BC201" s="6"/>
      <c r="BD201" s="6"/>
      <c r="BE201" s="6"/>
      <c r="BF201" s="5"/>
      <c r="BG201" s="5"/>
      <c r="BH201" s="6"/>
      <c r="BI201" s="6"/>
      <c r="BJ201" s="6"/>
      <c r="BK201" s="6"/>
      <c r="BL201" s="6"/>
      <c r="BM201" s="6"/>
      <c r="BN201" s="6"/>
      <c r="BO201" s="6"/>
      <c r="BP201" s="6"/>
      <c r="BQ201" s="6"/>
    </row>
    <row r="202" spans="1:69" ht="28.8" x14ac:dyDescent="0.3">
      <c r="A202" s="129"/>
      <c r="B202" s="63">
        <v>199</v>
      </c>
      <c r="C202" s="55" t="s">
        <v>630</v>
      </c>
      <c r="D202" s="5" t="s">
        <v>4</v>
      </c>
      <c r="E202" s="5">
        <v>100</v>
      </c>
      <c r="F202" s="42" t="s">
        <v>306</v>
      </c>
      <c r="G202" s="8" t="s">
        <v>623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17">
        <v>5.9060000000000001E-2</v>
      </c>
      <c r="AI202" s="17">
        <f t="shared" si="8"/>
        <v>5.9060000000000006</v>
      </c>
      <c r="AJ202" s="5"/>
      <c r="AK202" s="5"/>
      <c r="AL202" s="5"/>
      <c r="AM202" s="5"/>
      <c r="AN202" s="5"/>
      <c r="AO202" s="45"/>
      <c r="AP202" s="6"/>
      <c r="AQ202" s="50"/>
      <c r="AR202" s="6"/>
      <c r="AS202" s="6"/>
      <c r="AT202" s="6"/>
      <c r="AU202" s="6"/>
      <c r="AV202" s="7"/>
      <c r="AW202" s="7"/>
      <c r="AX202" s="7"/>
      <c r="AY202" s="7"/>
      <c r="AZ202" s="5"/>
      <c r="BA202" s="5"/>
      <c r="BB202" s="6"/>
      <c r="BC202" s="6"/>
      <c r="BD202" s="6"/>
      <c r="BE202" s="6"/>
      <c r="BF202" s="5"/>
      <c r="BG202" s="5"/>
      <c r="BH202" s="6"/>
      <c r="BI202" s="6"/>
      <c r="BJ202" s="6"/>
      <c r="BK202" s="6"/>
      <c r="BL202" s="6"/>
      <c r="BM202" s="6"/>
      <c r="BN202" s="6"/>
      <c r="BO202" s="6"/>
      <c r="BP202" s="6"/>
      <c r="BQ202" s="6"/>
    </row>
    <row r="203" spans="1:69" ht="28.8" x14ac:dyDescent="0.3">
      <c r="A203" s="129"/>
      <c r="B203" s="63">
        <v>200</v>
      </c>
      <c r="C203" s="57" t="s">
        <v>625</v>
      </c>
      <c r="D203" s="5" t="s">
        <v>4</v>
      </c>
      <c r="E203" s="5">
        <v>100</v>
      </c>
      <c r="F203" s="15" t="s">
        <v>307</v>
      </c>
      <c r="G203" s="8" t="s">
        <v>623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17">
        <v>9.7460000000000005E-2</v>
      </c>
      <c r="AI203" s="17">
        <f t="shared" si="8"/>
        <v>9.7460000000000004</v>
      </c>
      <c r="AJ203" s="5"/>
      <c r="AK203" s="5"/>
      <c r="AL203" s="5"/>
      <c r="AM203" s="5"/>
      <c r="AN203" s="5"/>
      <c r="AO203" s="45"/>
      <c r="AP203" s="6"/>
      <c r="AQ203" s="50"/>
      <c r="AR203" s="6"/>
      <c r="AS203" s="6"/>
      <c r="AT203" s="6"/>
      <c r="AU203" s="6"/>
      <c r="AV203" s="7"/>
      <c r="AW203" s="7"/>
      <c r="AX203" s="7"/>
      <c r="AY203" s="7"/>
      <c r="AZ203" s="5"/>
      <c r="BA203" s="5"/>
      <c r="BB203" s="6"/>
      <c r="BC203" s="6"/>
      <c r="BD203" s="6"/>
      <c r="BE203" s="6"/>
      <c r="BF203" s="5"/>
      <c r="BG203" s="5"/>
      <c r="BH203" s="6"/>
      <c r="BI203" s="6"/>
      <c r="BJ203" s="6"/>
      <c r="BK203" s="6"/>
      <c r="BL203" s="6"/>
      <c r="BM203" s="6"/>
      <c r="BN203" s="6"/>
      <c r="BO203" s="6"/>
      <c r="BP203" s="6"/>
      <c r="BQ203" s="6"/>
    </row>
    <row r="204" spans="1:69" ht="28.8" x14ac:dyDescent="0.3">
      <c r="A204" s="129"/>
      <c r="B204" s="63">
        <v>201</v>
      </c>
      <c r="C204" s="55" t="s">
        <v>629</v>
      </c>
      <c r="D204" s="5" t="s">
        <v>4</v>
      </c>
      <c r="E204" s="5">
        <v>100</v>
      </c>
      <c r="F204" s="15" t="s">
        <v>308</v>
      </c>
      <c r="G204" s="8" t="s">
        <v>623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17">
        <v>0.10394</v>
      </c>
      <c r="AI204" s="17">
        <f t="shared" si="8"/>
        <v>10.394</v>
      </c>
      <c r="AJ204" s="5"/>
      <c r="AK204" s="5"/>
      <c r="AL204" s="5"/>
      <c r="AM204" s="5"/>
      <c r="AN204" s="5"/>
      <c r="AO204" s="45"/>
      <c r="AP204" s="6"/>
      <c r="AQ204" s="50"/>
      <c r="AR204" s="6"/>
      <c r="AS204" s="6"/>
      <c r="AT204" s="6"/>
      <c r="AU204" s="6"/>
      <c r="AV204" s="7"/>
      <c r="AW204" s="7"/>
      <c r="AX204" s="7"/>
      <c r="AY204" s="7"/>
      <c r="AZ204" s="5"/>
      <c r="BA204" s="5"/>
      <c r="BB204" s="6"/>
      <c r="BC204" s="6"/>
      <c r="BD204" s="6"/>
      <c r="BE204" s="6"/>
      <c r="BF204" s="5"/>
      <c r="BG204" s="5"/>
      <c r="BH204" s="6"/>
      <c r="BI204" s="6"/>
      <c r="BJ204" s="6"/>
      <c r="BK204" s="6"/>
      <c r="BL204" s="6"/>
      <c r="BM204" s="6"/>
      <c r="BN204" s="6"/>
      <c r="BO204" s="6"/>
      <c r="BP204" s="6"/>
      <c r="BQ204" s="6"/>
    </row>
    <row r="205" spans="1:69" ht="28.8" x14ac:dyDescent="0.3">
      <c r="A205" s="129"/>
      <c r="B205" s="63">
        <v>202</v>
      </c>
      <c r="C205" s="57" t="s">
        <v>628</v>
      </c>
      <c r="D205" s="5" t="s">
        <v>4</v>
      </c>
      <c r="E205" s="5">
        <v>100</v>
      </c>
      <c r="F205" s="15" t="s">
        <v>309</v>
      </c>
      <c r="G205" s="8" t="s">
        <v>623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17">
        <v>9.7460000000000005E-2</v>
      </c>
      <c r="AI205" s="17">
        <f t="shared" si="8"/>
        <v>9.7460000000000004</v>
      </c>
      <c r="AJ205" s="5"/>
      <c r="AK205" s="5"/>
      <c r="AL205" s="5"/>
      <c r="AM205" s="5"/>
      <c r="AN205" s="5"/>
      <c r="AO205" s="45"/>
      <c r="AP205" s="6"/>
      <c r="AQ205" s="50"/>
      <c r="AR205" s="6"/>
      <c r="AS205" s="6"/>
      <c r="AT205" s="6"/>
      <c r="AU205" s="6"/>
      <c r="AV205" s="7"/>
      <c r="AW205" s="7"/>
      <c r="AX205" s="7"/>
      <c r="AY205" s="7"/>
      <c r="AZ205" s="5"/>
      <c r="BA205" s="5"/>
      <c r="BB205" s="6"/>
      <c r="BC205" s="6"/>
      <c r="BD205" s="6"/>
      <c r="BE205" s="6"/>
      <c r="BF205" s="5"/>
      <c r="BG205" s="5"/>
      <c r="BH205" s="6"/>
      <c r="BI205" s="6"/>
      <c r="BJ205" s="6"/>
      <c r="BK205" s="6"/>
      <c r="BL205" s="6"/>
      <c r="BM205" s="6"/>
      <c r="BN205" s="6"/>
      <c r="BO205" s="6"/>
      <c r="BP205" s="6"/>
      <c r="BQ205" s="6"/>
    </row>
    <row r="206" spans="1:69" ht="28.8" x14ac:dyDescent="0.3">
      <c r="A206" s="129"/>
      <c r="B206" s="63">
        <v>203</v>
      </c>
      <c r="C206" s="55" t="s">
        <v>627</v>
      </c>
      <c r="D206" s="5" t="s">
        <v>4</v>
      </c>
      <c r="E206" s="5">
        <v>100</v>
      </c>
      <c r="F206" s="15" t="s">
        <v>310</v>
      </c>
      <c r="G206" s="8" t="s">
        <v>623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17">
        <v>0.11457000000000001</v>
      </c>
      <c r="AI206" s="17">
        <f t="shared" si="8"/>
        <v>11.457000000000001</v>
      </c>
      <c r="AJ206" s="5"/>
      <c r="AK206" s="5"/>
      <c r="AL206" s="5"/>
      <c r="AM206" s="5"/>
      <c r="AN206" s="5"/>
      <c r="AO206" s="45"/>
      <c r="AP206" s="6"/>
      <c r="AQ206" s="50"/>
      <c r="AR206" s="6"/>
      <c r="AS206" s="6"/>
      <c r="AT206" s="6"/>
      <c r="AU206" s="6"/>
      <c r="AV206" s="7"/>
      <c r="AW206" s="7"/>
      <c r="AX206" s="7"/>
      <c r="AY206" s="7"/>
      <c r="AZ206" s="5"/>
      <c r="BA206" s="5"/>
      <c r="BB206" s="6"/>
      <c r="BC206" s="6"/>
      <c r="BD206" s="6"/>
      <c r="BE206" s="6"/>
      <c r="BF206" s="5"/>
      <c r="BG206" s="5"/>
      <c r="BH206" s="6"/>
      <c r="BI206" s="6"/>
      <c r="BJ206" s="6"/>
      <c r="BK206" s="6"/>
      <c r="BL206" s="6"/>
      <c r="BM206" s="6"/>
      <c r="BN206" s="6"/>
      <c r="BO206" s="6"/>
      <c r="BP206" s="6"/>
      <c r="BQ206" s="6"/>
    </row>
    <row r="207" spans="1:69" ht="28.8" x14ac:dyDescent="0.3">
      <c r="A207" s="129"/>
      <c r="B207" s="63">
        <v>204</v>
      </c>
      <c r="C207" s="57" t="s">
        <v>626</v>
      </c>
      <c r="D207" s="5" t="s">
        <v>4</v>
      </c>
      <c r="E207" s="5">
        <v>100</v>
      </c>
      <c r="F207" s="15" t="s">
        <v>311</v>
      </c>
      <c r="G207" s="8" t="s">
        <v>623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17">
        <v>0.80754000000000004</v>
      </c>
      <c r="AI207" s="17">
        <f t="shared" si="8"/>
        <v>80.754000000000005</v>
      </c>
      <c r="AJ207" s="5"/>
      <c r="AK207" s="5"/>
      <c r="AL207" s="5"/>
      <c r="AM207" s="5"/>
      <c r="AN207" s="5"/>
      <c r="AO207" s="45"/>
      <c r="AP207" s="6"/>
      <c r="AQ207" s="50"/>
      <c r="AR207" s="6"/>
      <c r="AS207" s="6"/>
      <c r="AT207" s="6"/>
      <c r="AU207" s="6"/>
      <c r="AV207" s="7"/>
      <c r="AW207" s="7"/>
      <c r="AX207" s="7"/>
      <c r="AY207" s="7"/>
      <c r="AZ207" s="5"/>
      <c r="BA207" s="5"/>
      <c r="BB207" s="6"/>
      <c r="BC207" s="6"/>
      <c r="BD207" s="6"/>
      <c r="BE207" s="6"/>
      <c r="BF207" s="5"/>
      <c r="BG207" s="5"/>
      <c r="BH207" s="6"/>
      <c r="BI207" s="6"/>
      <c r="BJ207" s="6"/>
      <c r="BK207" s="6"/>
      <c r="BL207" s="6"/>
      <c r="BM207" s="6"/>
      <c r="BN207" s="6"/>
      <c r="BO207" s="6"/>
      <c r="BP207" s="6"/>
      <c r="BQ207" s="6"/>
    </row>
    <row r="208" spans="1:69" ht="28.8" x14ac:dyDescent="0.3">
      <c r="A208" s="129"/>
      <c r="B208" s="63">
        <v>205</v>
      </c>
      <c r="C208" s="55" t="s">
        <v>625</v>
      </c>
      <c r="D208" s="5" t="s">
        <v>4</v>
      </c>
      <c r="E208" s="5">
        <v>100</v>
      </c>
      <c r="F208" s="15" t="s">
        <v>307</v>
      </c>
      <c r="G208" s="8" t="s">
        <v>623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17">
        <v>9.7460000000000005E-2</v>
      </c>
      <c r="AI208" s="17">
        <f t="shared" si="8"/>
        <v>9.7460000000000004</v>
      </c>
      <c r="AJ208" s="5"/>
      <c r="AK208" s="5"/>
      <c r="AL208" s="5"/>
      <c r="AM208" s="5"/>
      <c r="AN208" s="5"/>
      <c r="AO208" s="45"/>
      <c r="AP208" s="6"/>
      <c r="AQ208" s="50"/>
      <c r="AR208" s="6"/>
      <c r="AS208" s="6"/>
      <c r="AT208" s="6"/>
      <c r="AU208" s="6"/>
      <c r="AV208" s="7"/>
      <c r="AW208" s="7"/>
      <c r="AX208" s="7"/>
      <c r="AY208" s="7"/>
      <c r="AZ208" s="5"/>
      <c r="BA208" s="5"/>
      <c r="BB208" s="6"/>
      <c r="BC208" s="6"/>
      <c r="BD208" s="6"/>
      <c r="BE208" s="6"/>
      <c r="BF208" s="5"/>
      <c r="BG208" s="5"/>
      <c r="BH208" s="6"/>
      <c r="BI208" s="6"/>
      <c r="BJ208" s="6"/>
      <c r="BK208" s="6"/>
      <c r="BL208" s="6"/>
      <c r="BM208" s="6"/>
      <c r="BN208" s="6"/>
      <c r="BO208" s="6"/>
      <c r="BP208" s="6"/>
      <c r="BQ208" s="6"/>
    </row>
    <row r="209" spans="1:69" ht="28.8" x14ac:dyDescent="0.3">
      <c r="A209" s="129"/>
      <c r="B209" s="63">
        <v>206</v>
      </c>
      <c r="C209" s="57" t="s">
        <v>313</v>
      </c>
      <c r="D209" s="5" t="s">
        <v>4</v>
      </c>
      <c r="E209" s="5">
        <v>10</v>
      </c>
      <c r="F209" s="15" t="s">
        <v>312</v>
      </c>
      <c r="G209" s="8" t="s">
        <v>623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17">
        <v>40.486600000000003</v>
      </c>
      <c r="AI209" s="17">
        <f t="shared" si="8"/>
        <v>404.86600000000004</v>
      </c>
      <c r="AJ209" s="5"/>
      <c r="AK209" s="5"/>
      <c r="AL209" s="5"/>
      <c r="AM209" s="5"/>
      <c r="AN209" s="5"/>
      <c r="AO209" s="45"/>
      <c r="AP209" s="6"/>
      <c r="AQ209" s="50"/>
      <c r="AR209" s="6"/>
      <c r="AS209" s="6"/>
      <c r="AT209" s="6"/>
      <c r="AU209" s="6"/>
      <c r="AV209" s="7"/>
      <c r="AW209" s="7"/>
      <c r="AX209" s="7"/>
      <c r="AY209" s="7"/>
      <c r="AZ209" s="5"/>
      <c r="BA209" s="5"/>
      <c r="BB209" s="6"/>
      <c r="BC209" s="6"/>
      <c r="BD209" s="6"/>
      <c r="BE209" s="6"/>
      <c r="BF209" s="5"/>
      <c r="BG209" s="5"/>
      <c r="BH209" s="6"/>
      <c r="BI209" s="6"/>
      <c r="BJ209" s="6"/>
      <c r="BK209" s="6"/>
      <c r="BL209" s="6"/>
      <c r="BM209" s="6"/>
      <c r="BN209" s="6"/>
      <c r="BO209" s="6"/>
      <c r="BP209" s="6"/>
      <c r="BQ209" s="6"/>
    </row>
    <row r="210" spans="1:69" ht="43.2" x14ac:dyDescent="0.3">
      <c r="A210" s="129"/>
      <c r="B210" s="63">
        <v>207</v>
      </c>
      <c r="C210" s="56" t="s">
        <v>315</v>
      </c>
      <c r="D210" s="5" t="s">
        <v>4</v>
      </c>
      <c r="E210" s="5">
        <v>100</v>
      </c>
      <c r="F210" s="15" t="s">
        <v>314</v>
      </c>
      <c r="G210" s="8" t="s">
        <v>623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17">
        <v>0.57701000000000002</v>
      </c>
      <c r="AI210" s="17">
        <f t="shared" si="8"/>
        <v>57.701000000000001</v>
      </c>
      <c r="AJ210" s="5"/>
      <c r="AK210" s="5"/>
      <c r="AL210" s="5"/>
      <c r="AM210" s="5"/>
      <c r="AN210" s="5"/>
      <c r="AO210" s="45"/>
      <c r="AP210" s="6"/>
      <c r="AQ210" s="50"/>
      <c r="AR210" s="6"/>
      <c r="AS210" s="6"/>
      <c r="AT210" s="6"/>
      <c r="AU210" s="6"/>
      <c r="AV210" s="7"/>
      <c r="AW210" s="7"/>
      <c r="AX210" s="7"/>
      <c r="AY210" s="7"/>
      <c r="AZ210" s="5"/>
      <c r="BA210" s="5"/>
      <c r="BB210" s="6"/>
      <c r="BC210" s="6"/>
      <c r="BD210" s="6"/>
      <c r="BE210" s="6"/>
      <c r="BF210" s="5"/>
      <c r="BG210" s="5"/>
      <c r="BH210" s="6"/>
      <c r="BI210" s="6"/>
      <c r="BJ210" s="6"/>
      <c r="BK210" s="6"/>
      <c r="BL210" s="6"/>
      <c r="BM210" s="6"/>
      <c r="BN210" s="6"/>
      <c r="BO210" s="6"/>
      <c r="BP210" s="6"/>
      <c r="BQ210" s="6"/>
    </row>
    <row r="211" spans="1:69" ht="28.8" x14ac:dyDescent="0.3">
      <c r="A211" s="129"/>
      <c r="B211" s="63">
        <v>208</v>
      </c>
      <c r="C211" s="55" t="s">
        <v>317</v>
      </c>
      <c r="D211" s="5" t="s">
        <v>4</v>
      </c>
      <c r="E211" s="5">
        <v>10</v>
      </c>
      <c r="F211" s="15" t="s">
        <v>316</v>
      </c>
      <c r="G211" s="8" t="s">
        <v>623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17">
        <v>45.413699999999999</v>
      </c>
      <c r="AI211" s="17">
        <f t="shared" si="8"/>
        <v>454.137</v>
      </c>
      <c r="AJ211" s="5"/>
      <c r="AK211" s="5"/>
      <c r="AL211" s="5"/>
      <c r="AM211" s="5"/>
      <c r="AN211" s="5"/>
      <c r="AO211" s="45"/>
      <c r="AP211" s="6"/>
      <c r="AQ211" s="50"/>
      <c r="AR211" s="6"/>
      <c r="AS211" s="6"/>
      <c r="AT211" s="6"/>
      <c r="AU211" s="6"/>
      <c r="AV211" s="7"/>
      <c r="AW211" s="7"/>
      <c r="AX211" s="7"/>
      <c r="AY211" s="7"/>
      <c r="AZ211" s="5"/>
      <c r="BA211" s="5"/>
      <c r="BB211" s="6"/>
      <c r="BC211" s="6"/>
      <c r="BD211" s="6"/>
      <c r="BE211" s="6"/>
      <c r="BF211" s="5"/>
      <c r="BG211" s="5"/>
      <c r="BH211" s="6"/>
      <c r="BI211" s="6"/>
      <c r="BJ211" s="6"/>
      <c r="BK211" s="6"/>
      <c r="BL211" s="6"/>
      <c r="BM211" s="6"/>
      <c r="BN211" s="6"/>
      <c r="BO211" s="6"/>
      <c r="BP211" s="6"/>
      <c r="BQ211" s="6"/>
    </row>
    <row r="212" spans="1:69" ht="28.8" x14ac:dyDescent="0.3">
      <c r="A212" s="129"/>
      <c r="B212" s="63">
        <v>209</v>
      </c>
      <c r="C212" s="56" t="s">
        <v>319</v>
      </c>
      <c r="D212" s="5" t="s">
        <v>4</v>
      </c>
      <c r="E212" s="5">
        <v>10</v>
      </c>
      <c r="F212" s="15" t="s">
        <v>318</v>
      </c>
      <c r="G212" s="8" t="s">
        <v>623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45"/>
      <c r="AP212" s="6"/>
      <c r="AQ212" s="50"/>
      <c r="AR212" s="6"/>
      <c r="AS212" s="6"/>
      <c r="AT212" s="17">
        <v>130.07</v>
      </c>
      <c r="AU212" s="17">
        <f>AT212*E212</f>
        <v>1300.6999999999998</v>
      </c>
      <c r="AV212" s="7"/>
      <c r="AW212" s="7"/>
      <c r="AX212" s="7"/>
      <c r="AY212" s="7"/>
      <c r="AZ212" s="5"/>
      <c r="BA212" s="5"/>
      <c r="BB212" s="6"/>
      <c r="BC212" s="6"/>
      <c r="BD212" s="6"/>
      <c r="BE212" s="6"/>
      <c r="BF212" s="5"/>
      <c r="BG212" s="5"/>
      <c r="BH212" s="6"/>
      <c r="BI212" s="6"/>
      <c r="BJ212" s="6"/>
      <c r="BK212" s="6"/>
      <c r="BL212" s="6"/>
      <c r="BM212" s="6"/>
      <c r="BN212" s="6"/>
      <c r="BO212" s="6"/>
      <c r="BP212" s="6"/>
      <c r="BQ212" s="6"/>
    </row>
    <row r="213" spans="1:69" ht="28.8" x14ac:dyDescent="0.3">
      <c r="A213" s="129"/>
      <c r="B213" s="63">
        <v>210</v>
      </c>
      <c r="C213" s="55" t="s">
        <v>321</v>
      </c>
      <c r="D213" s="5" t="s">
        <v>4</v>
      </c>
      <c r="E213" s="5">
        <v>15</v>
      </c>
      <c r="F213" s="15" t="s">
        <v>320</v>
      </c>
      <c r="G213" s="8" t="s">
        <v>623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17">
        <v>5.8964299999999996</v>
      </c>
      <c r="AI213" s="17">
        <f>AH213*E213</f>
        <v>88.446449999999999</v>
      </c>
      <c r="AJ213" s="5"/>
      <c r="AK213" s="5"/>
      <c r="AL213" s="5"/>
      <c r="AM213" s="5"/>
      <c r="AN213" s="5"/>
      <c r="AO213" s="45"/>
      <c r="AP213" s="6"/>
      <c r="AQ213" s="50"/>
      <c r="AR213" s="6"/>
      <c r="AS213" s="6"/>
      <c r="AT213" s="6"/>
      <c r="AU213" s="6"/>
      <c r="AV213" s="7"/>
      <c r="AW213" s="7"/>
      <c r="AX213" s="7"/>
      <c r="AY213" s="7"/>
      <c r="AZ213" s="5"/>
      <c r="BA213" s="5"/>
      <c r="BB213" s="6"/>
      <c r="BC213" s="6"/>
      <c r="BD213" s="6"/>
      <c r="BE213" s="6"/>
      <c r="BF213" s="5"/>
      <c r="BG213" s="5"/>
      <c r="BH213" s="6"/>
      <c r="BI213" s="6"/>
      <c r="BJ213" s="6"/>
      <c r="BK213" s="6"/>
      <c r="BL213" s="6"/>
      <c r="BM213" s="6"/>
      <c r="BN213" s="6"/>
      <c r="BO213" s="6"/>
      <c r="BP213" s="6"/>
      <c r="BQ213" s="6"/>
    </row>
    <row r="214" spans="1:69" ht="28.8" x14ac:dyDescent="0.3">
      <c r="A214" s="129"/>
      <c r="B214" s="63">
        <v>211</v>
      </c>
      <c r="C214" s="56" t="s">
        <v>323</v>
      </c>
      <c r="D214" s="5" t="s">
        <v>4</v>
      </c>
      <c r="E214" s="5">
        <v>10</v>
      </c>
      <c r="F214" s="15" t="s">
        <v>322</v>
      </c>
      <c r="G214" s="8" t="s">
        <v>623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17">
        <v>31.511700000000001</v>
      </c>
      <c r="AI214" s="17">
        <f>AH214*E214</f>
        <v>315.11700000000002</v>
      </c>
      <c r="AJ214" s="5"/>
      <c r="AK214" s="5"/>
      <c r="AL214" s="5"/>
      <c r="AM214" s="5"/>
      <c r="AN214" s="5"/>
      <c r="AO214" s="45"/>
      <c r="AP214" s="6"/>
      <c r="AQ214" s="50"/>
      <c r="AR214" s="6"/>
      <c r="AS214" s="6"/>
      <c r="AT214" s="6"/>
      <c r="AU214" s="6"/>
      <c r="AV214" s="7"/>
      <c r="AW214" s="7"/>
      <c r="AX214" s="7"/>
      <c r="AY214" s="7"/>
      <c r="AZ214" s="5"/>
      <c r="BA214" s="5"/>
      <c r="BB214" s="6"/>
      <c r="BC214" s="6"/>
      <c r="BD214" s="6"/>
      <c r="BE214" s="6"/>
      <c r="BF214" s="5"/>
      <c r="BG214" s="5"/>
      <c r="BH214" s="6"/>
      <c r="BI214" s="6"/>
      <c r="BJ214" s="6"/>
      <c r="BK214" s="6"/>
      <c r="BL214" s="6"/>
      <c r="BM214" s="6"/>
      <c r="BN214" s="6"/>
      <c r="BO214" s="6"/>
      <c r="BP214" s="6"/>
      <c r="BQ214" s="6"/>
    </row>
    <row r="215" spans="1:69" ht="28.8" x14ac:dyDescent="0.3">
      <c r="A215" s="129"/>
      <c r="B215" s="63">
        <v>212</v>
      </c>
      <c r="C215" s="55" t="s">
        <v>325</v>
      </c>
      <c r="D215" s="5" t="s">
        <v>4</v>
      </c>
      <c r="E215" s="5">
        <v>9</v>
      </c>
      <c r="F215" s="15" t="s">
        <v>324</v>
      </c>
      <c r="G215" s="8" t="s">
        <v>623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17">
        <v>328.88099999999997</v>
      </c>
      <c r="AI215" s="17">
        <f>AH215*E215</f>
        <v>2959.9289999999996</v>
      </c>
      <c r="AJ215" s="5"/>
      <c r="AK215" s="5"/>
      <c r="AL215" s="5"/>
      <c r="AM215" s="5"/>
      <c r="AN215" s="5"/>
      <c r="AO215" s="45"/>
      <c r="AP215" s="6"/>
      <c r="AQ215" s="50"/>
      <c r="AR215" s="6"/>
      <c r="AS215" s="6"/>
      <c r="AT215" s="6"/>
      <c r="AU215" s="6"/>
      <c r="AV215" s="7"/>
      <c r="AW215" s="7"/>
      <c r="AX215" s="7"/>
      <c r="AY215" s="7"/>
      <c r="AZ215" s="5"/>
      <c r="BA215" s="5"/>
      <c r="BB215" s="6"/>
      <c r="BC215" s="6"/>
      <c r="BD215" s="6"/>
      <c r="BE215" s="6"/>
      <c r="BF215" s="5"/>
      <c r="BG215" s="5"/>
      <c r="BH215" s="6"/>
      <c r="BI215" s="6"/>
      <c r="BJ215" s="6"/>
      <c r="BK215" s="6"/>
      <c r="BL215" s="6"/>
      <c r="BM215" s="6"/>
      <c r="BN215" s="6"/>
      <c r="BO215" s="6"/>
      <c r="BP215" s="6"/>
      <c r="BQ215" s="6"/>
    </row>
    <row r="216" spans="1:69" ht="41.4" x14ac:dyDescent="0.3">
      <c r="A216" s="129"/>
      <c r="B216" s="63">
        <v>213</v>
      </c>
      <c r="C216" s="56" t="s">
        <v>327</v>
      </c>
      <c r="D216" s="5" t="s">
        <v>4</v>
      </c>
      <c r="E216" s="5">
        <v>10</v>
      </c>
      <c r="F216" s="15" t="s">
        <v>326</v>
      </c>
      <c r="G216" s="8" t="s">
        <v>623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17">
        <v>5.5118499999999999</v>
      </c>
      <c r="AI216" s="17">
        <f>AH216*E216</f>
        <v>55.118499999999997</v>
      </c>
      <c r="AJ216" s="5"/>
      <c r="AK216" s="5"/>
      <c r="AL216" s="5"/>
      <c r="AM216" s="5"/>
      <c r="AN216" s="5"/>
      <c r="AO216" s="45"/>
      <c r="AP216" s="6"/>
      <c r="AQ216" s="50"/>
      <c r="AR216" s="6"/>
      <c r="AS216" s="6"/>
      <c r="AT216" s="6"/>
      <c r="AU216" s="6"/>
      <c r="AV216" s="7"/>
      <c r="AW216" s="7"/>
      <c r="AX216" s="7"/>
      <c r="AY216" s="7"/>
      <c r="AZ216" s="5"/>
      <c r="BA216" s="5"/>
      <c r="BB216" s="6"/>
      <c r="BC216" s="6"/>
      <c r="BD216" s="6"/>
      <c r="BE216" s="6"/>
      <c r="BF216" s="5"/>
      <c r="BG216" s="5"/>
      <c r="BH216" s="6"/>
      <c r="BI216" s="6"/>
      <c r="BJ216" s="6"/>
      <c r="BK216" s="6"/>
      <c r="BL216" s="6"/>
      <c r="BM216" s="6"/>
      <c r="BN216" s="6"/>
      <c r="BO216" s="6"/>
      <c r="BP216" s="6"/>
      <c r="BQ216" s="6"/>
    </row>
    <row r="217" spans="1:69" ht="57.6" x14ac:dyDescent="0.3">
      <c r="A217" s="129"/>
      <c r="B217" s="63">
        <v>214</v>
      </c>
      <c r="C217" s="55" t="s">
        <v>337</v>
      </c>
      <c r="D217" s="5" t="s">
        <v>4</v>
      </c>
      <c r="E217" s="5">
        <v>12</v>
      </c>
      <c r="F217" s="15" t="s">
        <v>336</v>
      </c>
      <c r="G217" s="8" t="s">
        <v>623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45"/>
      <c r="AP217" s="6"/>
      <c r="AQ217" s="50"/>
      <c r="AR217" s="17">
        <v>13.43</v>
      </c>
      <c r="AS217" s="17">
        <f>AR217*E217</f>
        <v>161.16</v>
      </c>
      <c r="AT217" s="6"/>
      <c r="AU217" s="6"/>
      <c r="AV217" s="7"/>
      <c r="AW217" s="7"/>
      <c r="AX217" s="7"/>
      <c r="AY217" s="7"/>
      <c r="AZ217" s="5"/>
      <c r="BA217" s="5"/>
      <c r="BB217" s="6"/>
      <c r="BC217" s="6"/>
      <c r="BD217" s="6"/>
      <c r="BE217" s="6"/>
      <c r="BF217" s="5"/>
      <c r="BG217" s="5"/>
      <c r="BH217" s="6"/>
      <c r="BI217" s="6"/>
      <c r="BJ217" s="6"/>
      <c r="BK217" s="6"/>
      <c r="BL217" s="6"/>
      <c r="BM217" s="6"/>
      <c r="BN217" s="6"/>
      <c r="BO217" s="6"/>
      <c r="BP217" s="6"/>
      <c r="BQ217" s="6"/>
    </row>
    <row r="218" spans="1:69" ht="28.8" x14ac:dyDescent="0.3">
      <c r="A218" s="129"/>
      <c r="B218" s="63">
        <v>215</v>
      </c>
      <c r="C218" s="57" t="s">
        <v>339</v>
      </c>
      <c r="D218" s="5" t="s">
        <v>4</v>
      </c>
      <c r="E218" s="5">
        <v>25</v>
      </c>
      <c r="F218" s="15" t="s">
        <v>338</v>
      </c>
      <c r="G218" s="8" t="s">
        <v>623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7">
        <v>0.59531000000000001</v>
      </c>
      <c r="AI218" s="17">
        <f t="shared" ref="AI218:AI223" si="9">AH218*E218</f>
        <v>14.88275</v>
      </c>
      <c r="AJ218" s="5"/>
      <c r="AK218" s="5"/>
      <c r="AL218" s="5"/>
      <c r="AM218" s="5"/>
      <c r="AN218" s="5"/>
      <c r="AO218" s="45"/>
      <c r="AP218" s="6"/>
      <c r="AQ218" s="50"/>
      <c r="AR218" s="6"/>
      <c r="AS218" s="6"/>
      <c r="AT218" s="6"/>
      <c r="AU218" s="6"/>
      <c r="AV218" s="7"/>
      <c r="AW218" s="7"/>
      <c r="AX218" s="7"/>
      <c r="AY218" s="7"/>
      <c r="AZ218" s="5"/>
      <c r="BA218" s="5"/>
      <c r="BB218" s="6"/>
      <c r="BC218" s="6"/>
      <c r="BD218" s="6"/>
      <c r="BE218" s="6"/>
      <c r="BF218" s="5"/>
      <c r="BG218" s="5"/>
      <c r="BH218" s="6"/>
      <c r="BI218" s="6"/>
      <c r="BJ218" s="6"/>
      <c r="BK218" s="6"/>
      <c r="BL218" s="6"/>
      <c r="BM218" s="6"/>
      <c r="BN218" s="6"/>
      <c r="BO218" s="6"/>
      <c r="BP218" s="6"/>
      <c r="BQ218" s="6"/>
    </row>
    <row r="219" spans="1:69" ht="28.8" x14ac:dyDescent="0.3">
      <c r="A219" s="129"/>
      <c r="B219" s="63">
        <v>216</v>
      </c>
      <c r="C219" s="55" t="s">
        <v>341</v>
      </c>
      <c r="D219" s="5" t="s">
        <v>4</v>
      </c>
      <c r="E219" s="5">
        <v>25</v>
      </c>
      <c r="F219" s="15" t="s">
        <v>340</v>
      </c>
      <c r="G219" s="8" t="s">
        <v>623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7">
        <v>0.45643</v>
      </c>
      <c r="AI219" s="17">
        <f t="shared" si="9"/>
        <v>11.41075</v>
      </c>
      <c r="AJ219" s="5"/>
      <c r="AK219" s="5"/>
      <c r="AL219" s="5"/>
      <c r="AM219" s="5"/>
      <c r="AN219" s="5"/>
      <c r="AO219" s="45"/>
      <c r="AP219" s="6"/>
      <c r="AQ219" s="50"/>
      <c r="AR219" s="6"/>
      <c r="AS219" s="6"/>
      <c r="AT219" s="6"/>
      <c r="AU219" s="6"/>
      <c r="AV219" s="7"/>
      <c r="AW219" s="7"/>
      <c r="AX219" s="7"/>
      <c r="AY219" s="7"/>
      <c r="AZ219" s="5"/>
      <c r="BA219" s="5"/>
      <c r="BB219" s="6"/>
      <c r="BC219" s="6"/>
      <c r="BD219" s="6"/>
      <c r="BE219" s="6"/>
      <c r="BF219" s="5"/>
      <c r="BG219" s="5"/>
      <c r="BH219" s="6"/>
      <c r="BI219" s="6"/>
      <c r="BJ219" s="6"/>
      <c r="BK219" s="6"/>
      <c r="BL219" s="6"/>
      <c r="BM219" s="6"/>
      <c r="BN219" s="6"/>
      <c r="BO219" s="6"/>
      <c r="BP219" s="6"/>
      <c r="BQ219" s="6"/>
    </row>
    <row r="220" spans="1:69" ht="28.8" x14ac:dyDescent="0.3">
      <c r="A220" s="129"/>
      <c r="B220" s="63">
        <v>217</v>
      </c>
      <c r="C220" s="57" t="s">
        <v>343</v>
      </c>
      <c r="D220" s="5" t="s">
        <v>4</v>
      </c>
      <c r="E220" s="5">
        <v>65</v>
      </c>
      <c r="F220" s="15" t="s">
        <v>342</v>
      </c>
      <c r="G220" s="8" t="s">
        <v>623</v>
      </c>
      <c r="H220" s="6" t="s">
        <v>993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7">
        <v>12.5799</v>
      </c>
      <c r="AI220" s="17">
        <f t="shared" si="9"/>
        <v>817.69349999999997</v>
      </c>
      <c r="AJ220" s="5"/>
      <c r="AK220" s="5"/>
      <c r="AL220" s="5"/>
      <c r="AM220" s="5"/>
      <c r="AN220" s="5"/>
      <c r="AO220" s="45"/>
      <c r="AP220" s="6"/>
      <c r="AQ220" s="50"/>
      <c r="AR220" s="6"/>
      <c r="AS220" s="6"/>
      <c r="AT220" s="6"/>
      <c r="AU220" s="6"/>
      <c r="AV220" s="7"/>
      <c r="AW220" s="7"/>
      <c r="AX220" s="7"/>
      <c r="AY220" s="7"/>
      <c r="AZ220" s="5"/>
      <c r="BA220" s="5"/>
      <c r="BB220" s="6"/>
      <c r="BC220" s="6"/>
      <c r="BD220" s="6"/>
      <c r="BE220" s="6"/>
      <c r="BF220" s="5"/>
      <c r="BG220" s="5"/>
      <c r="BH220" s="6"/>
      <c r="BI220" s="6"/>
      <c r="BJ220" s="6"/>
      <c r="BK220" s="6"/>
      <c r="BL220" s="6"/>
      <c r="BM220" s="6"/>
      <c r="BN220" s="6"/>
      <c r="BO220" s="6"/>
      <c r="BP220" s="6"/>
      <c r="BQ220" s="6"/>
    </row>
    <row r="221" spans="1:69" ht="28.8" x14ac:dyDescent="0.3">
      <c r="A221" s="129"/>
      <c r="B221" s="63">
        <v>218</v>
      </c>
      <c r="C221" s="55" t="s">
        <v>271</v>
      </c>
      <c r="D221" s="5" t="s">
        <v>4</v>
      </c>
      <c r="E221" s="5">
        <v>100</v>
      </c>
      <c r="F221" s="15" t="s">
        <v>270</v>
      </c>
      <c r="G221" s="8" t="s">
        <v>623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17">
        <v>0.66557999999999995</v>
      </c>
      <c r="AI221" s="17">
        <f t="shared" si="9"/>
        <v>66.557999999999993</v>
      </c>
      <c r="AJ221" s="5"/>
      <c r="AK221" s="5"/>
      <c r="AL221" s="5"/>
      <c r="AM221" s="5"/>
      <c r="AN221" s="5"/>
      <c r="AO221" s="45"/>
      <c r="AP221" s="6"/>
      <c r="AQ221" s="50"/>
      <c r="AR221" s="6"/>
      <c r="AS221" s="6"/>
      <c r="AT221" s="6"/>
      <c r="AU221" s="6"/>
      <c r="AV221" s="7"/>
      <c r="AW221" s="7"/>
      <c r="AX221" s="7"/>
      <c r="AY221" s="7"/>
      <c r="AZ221" s="5"/>
      <c r="BA221" s="5"/>
      <c r="BB221" s="6"/>
      <c r="BC221" s="6"/>
      <c r="BD221" s="6"/>
      <c r="BE221" s="6"/>
      <c r="BF221" s="5"/>
      <c r="BG221" s="5"/>
      <c r="BH221" s="6"/>
      <c r="BI221" s="6"/>
      <c r="BJ221" s="6"/>
      <c r="BK221" s="6"/>
      <c r="BL221" s="6"/>
      <c r="BM221" s="6"/>
      <c r="BN221" s="6"/>
      <c r="BO221" s="6"/>
      <c r="BP221" s="6"/>
      <c r="BQ221" s="6"/>
    </row>
    <row r="222" spans="1:69" ht="28.8" x14ac:dyDescent="0.3">
      <c r="A222" s="129"/>
      <c r="B222" s="63">
        <v>219</v>
      </c>
      <c r="C222" s="57" t="s">
        <v>345</v>
      </c>
      <c r="D222" s="5" t="s">
        <v>4</v>
      </c>
      <c r="E222" s="5">
        <v>100</v>
      </c>
      <c r="F222" s="15" t="s">
        <v>344</v>
      </c>
      <c r="G222" s="8" t="s">
        <v>623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7">
        <v>1.30101</v>
      </c>
      <c r="AI222" s="17">
        <f t="shared" si="9"/>
        <v>130.101</v>
      </c>
      <c r="AJ222" s="5"/>
      <c r="AK222" s="5"/>
      <c r="AL222" s="5"/>
      <c r="AM222" s="5"/>
      <c r="AN222" s="5"/>
      <c r="AO222" s="45"/>
      <c r="AP222" s="6"/>
      <c r="AQ222" s="50"/>
      <c r="AR222" s="6"/>
      <c r="AS222" s="6"/>
      <c r="AT222" s="6"/>
      <c r="AU222" s="6"/>
      <c r="AV222" s="7"/>
      <c r="AW222" s="7"/>
      <c r="AX222" s="7"/>
      <c r="AY222" s="7"/>
      <c r="AZ222" s="5"/>
      <c r="BA222" s="5"/>
      <c r="BB222" s="6"/>
      <c r="BC222" s="6"/>
      <c r="BD222" s="6"/>
      <c r="BE222" s="6"/>
      <c r="BF222" s="5"/>
      <c r="BG222" s="5"/>
      <c r="BH222" s="6"/>
      <c r="BI222" s="6"/>
      <c r="BJ222" s="6"/>
      <c r="BK222" s="6"/>
      <c r="BL222" s="6"/>
      <c r="BM222" s="6"/>
      <c r="BN222" s="6"/>
      <c r="BO222" s="6"/>
      <c r="BP222" s="6"/>
      <c r="BQ222" s="6"/>
    </row>
    <row r="223" spans="1:69" ht="28.8" x14ac:dyDescent="0.3">
      <c r="A223" s="129"/>
      <c r="B223" s="63">
        <v>220</v>
      </c>
      <c r="C223" s="55" t="s">
        <v>347</v>
      </c>
      <c r="D223" s="5" t="s">
        <v>4</v>
      </c>
      <c r="E223" s="5">
        <v>100</v>
      </c>
      <c r="F223" s="15" t="s">
        <v>346</v>
      </c>
      <c r="G223" s="8" t="s">
        <v>623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17">
        <v>1.04972</v>
      </c>
      <c r="AI223" s="17">
        <f t="shared" si="9"/>
        <v>104.97199999999999</v>
      </c>
      <c r="AJ223" s="5"/>
      <c r="AK223" s="5"/>
      <c r="AL223" s="5"/>
      <c r="AM223" s="5"/>
      <c r="AN223" s="5"/>
      <c r="AO223" s="45"/>
      <c r="AP223" s="6"/>
      <c r="AQ223" s="50"/>
      <c r="AR223" s="6"/>
      <c r="AS223" s="6"/>
      <c r="AT223" s="6"/>
      <c r="AU223" s="6"/>
      <c r="AV223" s="7"/>
      <c r="AW223" s="7"/>
      <c r="AX223" s="7"/>
      <c r="AY223" s="7"/>
      <c r="AZ223" s="5"/>
      <c r="BA223" s="5"/>
      <c r="BB223" s="6"/>
      <c r="BC223" s="6"/>
      <c r="BD223" s="6"/>
      <c r="BE223" s="6"/>
      <c r="BF223" s="5"/>
      <c r="BG223" s="5"/>
      <c r="BH223" s="6"/>
      <c r="BI223" s="6"/>
      <c r="BJ223" s="6"/>
      <c r="BK223" s="6"/>
      <c r="BL223" s="6"/>
      <c r="BM223" s="6"/>
      <c r="BN223" s="6"/>
      <c r="BO223" s="6"/>
      <c r="BP223" s="6"/>
      <c r="BQ223" s="6"/>
    </row>
    <row r="224" spans="1:69" ht="43.2" x14ac:dyDescent="0.3">
      <c r="A224" s="129"/>
      <c r="B224" s="63">
        <v>221</v>
      </c>
      <c r="C224" s="57" t="s">
        <v>349</v>
      </c>
      <c r="D224" s="5" t="s">
        <v>4</v>
      </c>
      <c r="E224" s="5">
        <v>50</v>
      </c>
      <c r="F224" s="15" t="s">
        <v>348</v>
      </c>
      <c r="G224" s="8" t="s">
        <v>623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45"/>
      <c r="AP224" s="6"/>
      <c r="AQ224" s="50"/>
      <c r="AR224" s="6"/>
      <c r="AS224" s="6"/>
      <c r="AT224" s="6"/>
      <c r="AU224" s="6"/>
      <c r="AV224" s="7"/>
      <c r="AW224" s="7"/>
      <c r="AX224" s="58">
        <v>6.49</v>
      </c>
      <c r="AY224" s="58">
        <f>AX224*E224</f>
        <v>324.5</v>
      </c>
      <c r="AZ224" s="5"/>
      <c r="BA224" s="5"/>
      <c r="BB224" s="6"/>
      <c r="BC224" s="6"/>
      <c r="BD224" s="6"/>
      <c r="BE224" s="6"/>
      <c r="BF224" s="5"/>
      <c r="BG224" s="5"/>
      <c r="BH224" s="6"/>
      <c r="BI224" s="6"/>
      <c r="BJ224" s="6"/>
      <c r="BK224" s="6"/>
      <c r="BL224" s="6"/>
      <c r="BM224" s="6"/>
      <c r="BN224" s="6"/>
      <c r="BO224" s="6"/>
      <c r="BP224" s="6"/>
      <c r="BQ224" s="6"/>
    </row>
    <row r="225" spans="1:69" ht="57.6" x14ac:dyDescent="0.3">
      <c r="A225" s="129"/>
      <c r="B225" s="63">
        <v>222</v>
      </c>
      <c r="C225" s="55" t="s">
        <v>351</v>
      </c>
      <c r="D225" s="5" t="s">
        <v>4</v>
      </c>
      <c r="E225" s="5">
        <v>25</v>
      </c>
      <c r="F225" s="15" t="s">
        <v>350</v>
      </c>
      <c r="G225" s="8" t="s">
        <v>623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45"/>
      <c r="AP225" s="6"/>
      <c r="AQ225" s="50"/>
      <c r="AR225" s="6"/>
      <c r="AS225" s="6"/>
      <c r="AT225" s="6"/>
      <c r="AU225" s="6"/>
      <c r="AV225" s="7"/>
      <c r="AW225" s="7"/>
      <c r="AX225" s="58">
        <v>34.82</v>
      </c>
      <c r="AY225" s="58">
        <f>AX225*E225</f>
        <v>870.5</v>
      </c>
      <c r="AZ225" s="5"/>
      <c r="BA225" s="5"/>
      <c r="BB225" s="6"/>
      <c r="BC225" s="6"/>
      <c r="BD225" s="6"/>
      <c r="BE225" s="6"/>
      <c r="BF225" s="5"/>
      <c r="BG225" s="5"/>
      <c r="BH225" s="6"/>
      <c r="BI225" s="6"/>
      <c r="BJ225" s="6"/>
      <c r="BK225" s="6"/>
      <c r="BL225" s="6"/>
      <c r="BM225" s="6"/>
      <c r="BN225" s="6"/>
      <c r="BO225" s="6"/>
      <c r="BP225" s="6"/>
      <c r="BQ225" s="6"/>
    </row>
    <row r="226" spans="1:69" ht="57.6" x14ac:dyDescent="0.3">
      <c r="A226" s="129"/>
      <c r="B226" s="64">
        <v>223</v>
      </c>
      <c r="C226" s="57" t="s">
        <v>353</v>
      </c>
      <c r="D226" s="5" t="s">
        <v>4</v>
      </c>
      <c r="E226" s="5">
        <v>5</v>
      </c>
      <c r="F226" s="15" t="s">
        <v>352</v>
      </c>
      <c r="G226" s="8" t="s">
        <v>623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45"/>
      <c r="AP226" s="6"/>
      <c r="AQ226" s="50"/>
      <c r="AR226" s="6"/>
      <c r="AS226" s="6"/>
      <c r="AT226" s="6"/>
      <c r="AU226" s="6"/>
      <c r="AV226" s="7"/>
      <c r="AW226" s="7"/>
      <c r="AX226" s="58">
        <v>487.49</v>
      </c>
      <c r="AY226" s="58">
        <f>AX226*E226</f>
        <v>2437.4499999999998</v>
      </c>
      <c r="AZ226" s="5"/>
      <c r="BA226" s="5"/>
      <c r="BB226" s="6"/>
      <c r="BC226" s="6"/>
      <c r="BD226" s="6"/>
      <c r="BE226" s="6"/>
      <c r="BF226" s="5"/>
      <c r="BG226" s="5"/>
      <c r="BH226" s="6"/>
      <c r="BI226" s="6"/>
      <c r="BJ226" s="6"/>
      <c r="BK226" s="6"/>
      <c r="BL226" s="6"/>
      <c r="BM226" s="6"/>
      <c r="BN226" s="6"/>
      <c r="BO226" s="6"/>
      <c r="BP226" s="6"/>
      <c r="BQ226" s="6"/>
    </row>
    <row r="227" spans="1:69" ht="28.8" x14ac:dyDescent="0.3">
      <c r="A227" s="129"/>
      <c r="B227" s="63">
        <v>224</v>
      </c>
      <c r="C227" s="55" t="s">
        <v>354</v>
      </c>
      <c r="D227" s="5" t="s">
        <v>4</v>
      </c>
      <c r="E227" s="5">
        <v>10</v>
      </c>
      <c r="F227" s="15" t="s">
        <v>249</v>
      </c>
      <c r="G227" s="8" t="s">
        <v>623</v>
      </c>
      <c r="H227" s="6"/>
      <c r="I227" s="6"/>
      <c r="J227" s="6"/>
      <c r="K227" s="6"/>
      <c r="L227" s="6"/>
      <c r="M227" s="6"/>
      <c r="N227" s="6"/>
      <c r="O227" s="6"/>
      <c r="P227" s="17">
        <v>3.18</v>
      </c>
      <c r="Q227" s="17">
        <f>P227*E227</f>
        <v>31.8</v>
      </c>
      <c r="R227" s="6"/>
      <c r="S227" s="6"/>
      <c r="T227" s="6"/>
      <c r="U227" s="6"/>
      <c r="V227" s="6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45"/>
      <c r="AP227" s="6"/>
      <c r="AQ227" s="50"/>
      <c r="AR227" s="6"/>
      <c r="AS227" s="6"/>
      <c r="AT227" s="6"/>
      <c r="AU227" s="6"/>
      <c r="AV227" s="7"/>
      <c r="AW227" s="7"/>
      <c r="AX227" s="7"/>
      <c r="AY227" s="7"/>
      <c r="AZ227" s="5"/>
      <c r="BA227" s="5"/>
      <c r="BB227" s="6"/>
      <c r="BC227" s="6"/>
      <c r="BD227" s="6"/>
      <c r="BE227" s="6"/>
      <c r="BF227" s="5"/>
      <c r="BG227" s="5"/>
      <c r="BH227" s="6"/>
      <c r="BI227" s="6"/>
      <c r="BJ227" s="6"/>
      <c r="BK227" s="6"/>
      <c r="BL227" s="6"/>
      <c r="BM227" s="6"/>
      <c r="BN227" s="6"/>
      <c r="BO227" s="6"/>
      <c r="BP227" s="6"/>
      <c r="BQ227" s="6"/>
    </row>
    <row r="228" spans="1:69" ht="43.2" x14ac:dyDescent="0.3">
      <c r="A228" s="129"/>
      <c r="B228" s="63">
        <v>225</v>
      </c>
      <c r="C228" s="57" t="s">
        <v>355</v>
      </c>
      <c r="D228" s="5" t="s">
        <v>4</v>
      </c>
      <c r="E228" s="5">
        <v>5</v>
      </c>
      <c r="F228" s="15" t="s">
        <v>554</v>
      </c>
      <c r="G228" s="8" t="s">
        <v>623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45"/>
      <c r="AP228" s="6"/>
      <c r="AQ228" s="50"/>
      <c r="AR228" s="17">
        <v>82.84</v>
      </c>
      <c r="AS228" s="17">
        <f>AR228*E228</f>
        <v>414.20000000000005</v>
      </c>
      <c r="AT228" s="6"/>
      <c r="AU228" s="6"/>
      <c r="AV228" s="7"/>
      <c r="AW228" s="7"/>
      <c r="AX228" s="7"/>
      <c r="AY228" s="7"/>
      <c r="AZ228" s="5"/>
      <c r="BA228" s="5"/>
      <c r="BB228" s="6"/>
      <c r="BC228" s="6"/>
      <c r="BD228" s="6"/>
      <c r="BE228" s="6"/>
      <c r="BF228" s="5"/>
      <c r="BG228" s="5"/>
      <c r="BH228" s="6"/>
      <c r="BI228" s="6"/>
      <c r="BJ228" s="6"/>
      <c r="BK228" s="6"/>
      <c r="BL228" s="6"/>
      <c r="BM228" s="6"/>
      <c r="BN228" s="6"/>
      <c r="BO228" s="6"/>
      <c r="BP228" s="6"/>
      <c r="BQ228" s="6"/>
    </row>
    <row r="229" spans="1:69" ht="43.2" x14ac:dyDescent="0.3">
      <c r="A229" s="129"/>
      <c r="B229" s="63">
        <v>226</v>
      </c>
      <c r="C229" s="57" t="s">
        <v>357</v>
      </c>
      <c r="D229" s="5" t="s">
        <v>4</v>
      </c>
      <c r="E229" s="5">
        <v>10</v>
      </c>
      <c r="F229" s="15" t="s">
        <v>356</v>
      </c>
      <c r="G229" s="8" t="s">
        <v>623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7">
        <v>11.34</v>
      </c>
      <c r="W229" s="17">
        <f>V229*E229</f>
        <v>113.4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45"/>
      <c r="AP229" s="6"/>
      <c r="AQ229" s="50"/>
      <c r="AR229" s="6"/>
      <c r="AS229" s="6"/>
      <c r="AT229" s="6"/>
      <c r="AU229" s="6"/>
      <c r="AV229" s="7"/>
      <c r="AW229" s="7"/>
      <c r="AX229" s="7"/>
      <c r="AY229" s="7"/>
      <c r="AZ229" s="5"/>
      <c r="BA229" s="5"/>
      <c r="BB229" s="6"/>
      <c r="BC229" s="6"/>
      <c r="BD229" s="6"/>
      <c r="BE229" s="6"/>
      <c r="BF229" s="5"/>
      <c r="BG229" s="5"/>
      <c r="BH229" s="6"/>
      <c r="BI229" s="6"/>
      <c r="BJ229" s="6"/>
      <c r="BK229" s="6"/>
      <c r="BL229" s="6"/>
      <c r="BM229" s="6"/>
      <c r="BN229" s="6"/>
      <c r="BO229" s="6"/>
      <c r="BP229" s="6"/>
      <c r="BQ229" s="6"/>
    </row>
    <row r="230" spans="1:69" ht="43.2" x14ac:dyDescent="0.3">
      <c r="A230" s="129"/>
      <c r="B230" s="69">
        <v>227</v>
      </c>
      <c r="C230" s="57" t="s">
        <v>359</v>
      </c>
      <c r="D230" s="5" t="s">
        <v>4</v>
      </c>
      <c r="E230" s="5">
        <v>10</v>
      </c>
      <c r="F230" s="15" t="s">
        <v>358</v>
      </c>
      <c r="G230" s="8" t="s">
        <v>623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7">
        <v>7.56</v>
      </c>
      <c r="W230" s="17">
        <f>V230*E230</f>
        <v>75.599999999999994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45"/>
      <c r="AP230" s="6"/>
      <c r="AQ230" s="50"/>
      <c r="AR230" s="6"/>
      <c r="AS230" s="6"/>
      <c r="AT230" s="6"/>
      <c r="AU230" s="6"/>
      <c r="AV230" s="7"/>
      <c r="AW230" s="7"/>
      <c r="AX230" s="7"/>
      <c r="AY230" s="7"/>
      <c r="AZ230" s="5"/>
      <c r="BA230" s="5"/>
      <c r="BB230" s="6"/>
      <c r="BC230" s="6"/>
      <c r="BD230" s="6"/>
      <c r="BE230" s="6"/>
      <c r="BF230" s="5"/>
      <c r="BG230" s="5"/>
      <c r="BH230" s="6"/>
      <c r="BI230" s="6"/>
      <c r="BJ230" s="6"/>
      <c r="BK230" s="6"/>
      <c r="BL230" s="6"/>
      <c r="BM230" s="6"/>
      <c r="BN230" s="6"/>
      <c r="BO230" s="6"/>
      <c r="BP230" s="6"/>
      <c r="BQ230" s="6"/>
    </row>
    <row r="231" spans="1:69" ht="28.8" x14ac:dyDescent="0.3">
      <c r="A231" s="129"/>
      <c r="B231" s="63">
        <v>228</v>
      </c>
      <c r="C231" s="57" t="s">
        <v>361</v>
      </c>
      <c r="D231" s="5" t="s">
        <v>4</v>
      </c>
      <c r="E231" s="5">
        <v>5</v>
      </c>
      <c r="F231" s="15" t="s">
        <v>360</v>
      </c>
      <c r="G231" s="8" t="s">
        <v>623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17">
        <v>47.691699999999997</v>
      </c>
      <c r="AI231" s="17">
        <f>AH231*E231</f>
        <v>238.45849999999999</v>
      </c>
      <c r="AJ231" s="5"/>
      <c r="AK231" s="5"/>
      <c r="AL231" s="5"/>
      <c r="AM231" s="5"/>
      <c r="AN231" s="5"/>
      <c r="AO231" s="45"/>
      <c r="AP231" s="6"/>
      <c r="AQ231" s="50"/>
      <c r="AR231" s="6"/>
      <c r="AS231" s="6"/>
      <c r="AT231" s="6"/>
      <c r="AU231" s="6"/>
      <c r="AV231" s="7"/>
      <c r="AW231" s="7"/>
      <c r="AX231" s="7"/>
      <c r="AY231" s="7"/>
      <c r="AZ231" s="5"/>
      <c r="BA231" s="5"/>
      <c r="BB231" s="6"/>
      <c r="BC231" s="6"/>
      <c r="BD231" s="6"/>
      <c r="BE231" s="6"/>
      <c r="BF231" s="5"/>
      <c r="BG231" s="5"/>
      <c r="BH231" s="6"/>
      <c r="BI231" s="6"/>
      <c r="BJ231" s="6"/>
      <c r="BK231" s="6"/>
      <c r="BL231" s="6"/>
      <c r="BM231" s="6"/>
      <c r="BN231" s="6"/>
      <c r="BO231" s="6"/>
      <c r="BP231" s="6"/>
      <c r="BQ231" s="6"/>
    </row>
    <row r="232" spans="1:69" ht="28.8" x14ac:dyDescent="0.3">
      <c r="A232" s="129"/>
      <c r="B232" s="63">
        <v>229</v>
      </c>
      <c r="C232" s="55" t="s">
        <v>363</v>
      </c>
      <c r="D232" s="5" t="s">
        <v>4</v>
      </c>
      <c r="E232" s="5">
        <v>25</v>
      </c>
      <c r="F232" s="15" t="s">
        <v>362</v>
      </c>
      <c r="G232" s="8" t="s">
        <v>623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17">
        <v>7.2072500000000002</v>
      </c>
      <c r="AI232" s="17">
        <f>AH232*E232</f>
        <v>180.18125000000001</v>
      </c>
      <c r="AJ232" s="5"/>
      <c r="AK232" s="5"/>
      <c r="AL232" s="5"/>
      <c r="AM232" s="5"/>
      <c r="AN232" s="5"/>
      <c r="AO232" s="45"/>
      <c r="AP232" s="6"/>
      <c r="AQ232" s="50"/>
      <c r="AR232" s="6"/>
      <c r="AS232" s="6"/>
      <c r="AT232" s="6"/>
      <c r="AU232" s="6"/>
      <c r="AV232" s="7"/>
      <c r="AW232" s="7"/>
      <c r="AX232" s="7"/>
      <c r="AY232" s="7"/>
      <c r="AZ232" s="5"/>
      <c r="BA232" s="5"/>
      <c r="BB232" s="6"/>
      <c r="BC232" s="6"/>
      <c r="BD232" s="6"/>
      <c r="BE232" s="6"/>
      <c r="BF232" s="5"/>
      <c r="BG232" s="5"/>
      <c r="BH232" s="6"/>
      <c r="BI232" s="6"/>
      <c r="BJ232" s="6"/>
      <c r="BK232" s="6"/>
      <c r="BL232" s="6"/>
      <c r="BM232" s="6"/>
      <c r="BN232" s="6"/>
      <c r="BO232" s="6"/>
      <c r="BP232" s="6"/>
      <c r="BQ232" s="6"/>
    </row>
    <row r="233" spans="1:69" ht="28.8" x14ac:dyDescent="0.3">
      <c r="A233" s="129"/>
      <c r="B233" s="63">
        <v>230</v>
      </c>
      <c r="C233" s="56" t="s">
        <v>365</v>
      </c>
      <c r="D233" s="5" t="s">
        <v>4</v>
      </c>
      <c r="E233" s="5">
        <v>30</v>
      </c>
      <c r="F233" s="15" t="s">
        <v>364</v>
      </c>
      <c r="G233" s="8" t="s">
        <v>623</v>
      </c>
      <c r="H233" s="6"/>
      <c r="I233" s="6"/>
      <c r="J233" s="6"/>
      <c r="K233" s="6"/>
      <c r="L233" s="6"/>
      <c r="M233" s="6"/>
      <c r="N233" s="6"/>
      <c r="O233" s="6"/>
      <c r="P233" s="17">
        <v>7.41</v>
      </c>
      <c r="Q233" s="17">
        <f>P233*E233</f>
        <v>222.3</v>
      </c>
      <c r="R233" s="6"/>
      <c r="S233" s="6"/>
      <c r="T233" s="6"/>
      <c r="U233" s="6"/>
      <c r="V233" s="6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45"/>
      <c r="AP233" s="6"/>
      <c r="AQ233" s="50"/>
      <c r="AR233" s="6"/>
      <c r="AS233" s="6"/>
      <c r="AT233" s="6"/>
      <c r="AU233" s="6"/>
      <c r="AV233" s="7"/>
      <c r="AW233" s="7"/>
      <c r="AX233" s="7"/>
      <c r="AY233" s="7"/>
      <c r="AZ233" s="5"/>
      <c r="BA233" s="5"/>
      <c r="BB233" s="6"/>
      <c r="BC233" s="6"/>
      <c r="BD233" s="6"/>
      <c r="BE233" s="6"/>
      <c r="BF233" s="5"/>
      <c r="BG233" s="5"/>
      <c r="BH233" s="6"/>
      <c r="BI233" s="6"/>
      <c r="BJ233" s="6"/>
      <c r="BK233" s="6"/>
      <c r="BL233" s="6"/>
      <c r="BM233" s="6"/>
      <c r="BN233" s="6"/>
      <c r="BO233" s="6"/>
      <c r="BP233" s="6"/>
      <c r="BQ233" s="6"/>
    </row>
    <row r="234" spans="1:69" ht="28.8" x14ac:dyDescent="0.3">
      <c r="A234" s="129"/>
      <c r="B234" s="63">
        <v>231</v>
      </c>
      <c r="C234" s="56" t="s">
        <v>366</v>
      </c>
      <c r="D234" s="5" t="s">
        <v>4</v>
      </c>
      <c r="E234" s="5">
        <v>50</v>
      </c>
      <c r="F234" s="15" t="s">
        <v>657</v>
      </c>
      <c r="G234" s="8" t="s">
        <v>623</v>
      </c>
      <c r="H234" s="6" t="s">
        <v>994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17">
        <v>0.27045999999999998</v>
      </c>
      <c r="AI234" s="17">
        <f>AH234*E234</f>
        <v>13.523</v>
      </c>
      <c r="AJ234" s="5"/>
      <c r="AK234" s="5"/>
      <c r="AL234" s="5"/>
      <c r="AM234" s="5"/>
      <c r="AN234" s="5"/>
      <c r="AO234" s="45"/>
      <c r="AP234" s="6"/>
      <c r="AQ234" s="50"/>
      <c r="AR234" s="6"/>
      <c r="AS234" s="6"/>
      <c r="AT234" s="6"/>
      <c r="AU234" s="6"/>
      <c r="AV234" s="7"/>
      <c r="AW234" s="7"/>
      <c r="AX234" s="7"/>
      <c r="AY234" s="7"/>
      <c r="AZ234" s="5"/>
      <c r="BA234" s="5"/>
      <c r="BB234" s="6"/>
      <c r="BC234" s="6"/>
      <c r="BD234" s="6"/>
      <c r="BE234" s="6"/>
      <c r="BF234" s="5"/>
      <c r="BG234" s="5"/>
      <c r="BH234" s="6"/>
      <c r="BI234" s="6"/>
      <c r="BJ234" s="6"/>
      <c r="BK234" s="6"/>
      <c r="BL234" s="6"/>
      <c r="BM234" s="6"/>
      <c r="BN234" s="6"/>
      <c r="BO234" s="6"/>
      <c r="BP234" s="6"/>
      <c r="BQ234" s="6"/>
    </row>
    <row r="235" spans="1:69" ht="28.8" x14ac:dyDescent="0.3">
      <c r="A235" s="129"/>
      <c r="B235" s="63">
        <v>232</v>
      </c>
      <c r="C235" s="55" t="s">
        <v>368</v>
      </c>
      <c r="D235" s="5" t="s">
        <v>4</v>
      </c>
      <c r="E235" s="5">
        <v>100</v>
      </c>
      <c r="F235" s="15" t="s">
        <v>367</v>
      </c>
      <c r="G235" s="8" t="s">
        <v>623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17">
        <v>2.1839400000000002</v>
      </c>
      <c r="AI235" s="17">
        <f>AH235*E235</f>
        <v>218.39400000000003</v>
      </c>
      <c r="AJ235" s="5"/>
      <c r="AK235" s="5"/>
      <c r="AL235" s="5"/>
      <c r="AM235" s="5"/>
      <c r="AN235" s="5"/>
      <c r="AO235" s="45"/>
      <c r="AP235" s="6"/>
      <c r="AQ235" s="50"/>
      <c r="AR235" s="6"/>
      <c r="AS235" s="6"/>
      <c r="AT235" s="6"/>
      <c r="AU235" s="6"/>
      <c r="AV235" s="7"/>
      <c r="AW235" s="7"/>
      <c r="AX235" s="7"/>
      <c r="AY235" s="7"/>
      <c r="AZ235" s="5"/>
      <c r="BA235" s="5"/>
      <c r="BB235" s="6"/>
      <c r="BC235" s="6"/>
      <c r="BD235" s="6"/>
      <c r="BE235" s="6"/>
      <c r="BF235" s="5"/>
      <c r="BG235" s="5"/>
      <c r="BH235" s="6"/>
      <c r="BI235" s="6"/>
      <c r="BJ235" s="6"/>
      <c r="BK235" s="6"/>
      <c r="BL235" s="6"/>
      <c r="BM235" s="6"/>
      <c r="BN235" s="6"/>
      <c r="BO235" s="6"/>
      <c r="BP235" s="6"/>
      <c r="BQ235" s="6"/>
    </row>
    <row r="236" spans="1:69" ht="43.2" x14ac:dyDescent="0.3">
      <c r="A236" s="129"/>
      <c r="B236" s="63">
        <v>233</v>
      </c>
      <c r="C236" s="57" t="s">
        <v>557</v>
      </c>
      <c r="D236" s="5" t="s">
        <v>4</v>
      </c>
      <c r="E236" s="5">
        <v>10</v>
      </c>
      <c r="F236" s="15" t="s">
        <v>556</v>
      </c>
      <c r="G236" s="8" t="s">
        <v>623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45"/>
      <c r="AP236" s="6"/>
      <c r="AQ236" s="50"/>
      <c r="AR236" s="6"/>
      <c r="AS236" s="6"/>
      <c r="AT236" s="17">
        <v>7.36</v>
      </c>
      <c r="AU236" s="17">
        <f>AT236*E236</f>
        <v>73.600000000000009</v>
      </c>
      <c r="AV236" s="7"/>
      <c r="AW236" s="7"/>
      <c r="AX236" s="7"/>
      <c r="AY236" s="7"/>
      <c r="AZ236" s="5"/>
      <c r="BA236" s="5"/>
      <c r="BB236" s="6"/>
      <c r="BC236" s="6"/>
      <c r="BD236" s="6"/>
      <c r="BE236" s="6"/>
      <c r="BF236" s="5"/>
      <c r="BG236" s="5"/>
      <c r="BH236" s="6"/>
      <c r="BI236" s="6"/>
      <c r="BJ236" s="6"/>
      <c r="BK236" s="6"/>
      <c r="BL236" s="6"/>
      <c r="BM236" s="6"/>
      <c r="BN236" s="6"/>
      <c r="BO236" s="6"/>
      <c r="BP236" s="6"/>
      <c r="BQ236" s="6"/>
    </row>
    <row r="237" spans="1:69" ht="28.8" x14ac:dyDescent="0.3">
      <c r="A237" s="129"/>
      <c r="B237" s="63">
        <v>234</v>
      </c>
      <c r="C237" s="80" t="s">
        <v>317</v>
      </c>
      <c r="D237" s="5" t="s">
        <v>4</v>
      </c>
      <c r="E237" s="5">
        <v>5</v>
      </c>
      <c r="F237" s="15" t="s">
        <v>316</v>
      </c>
      <c r="G237" s="8" t="s">
        <v>623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17">
        <v>54.52</v>
      </c>
      <c r="AI237" s="17">
        <f t="shared" ref="AI237:AI282" si="10">AH237*E237</f>
        <v>272.60000000000002</v>
      </c>
      <c r="AJ237" s="5"/>
      <c r="AK237" s="5"/>
      <c r="AL237" s="5"/>
      <c r="AM237" s="5"/>
      <c r="AN237" s="5"/>
      <c r="AO237" s="45"/>
      <c r="AP237" s="6"/>
      <c r="AQ237" s="50"/>
      <c r="AR237" s="6"/>
      <c r="AS237" s="6"/>
      <c r="AT237" s="6"/>
      <c r="AU237" s="6"/>
      <c r="AV237" s="7"/>
      <c r="AW237" s="7"/>
      <c r="AX237" s="7"/>
      <c r="AY237" s="7"/>
      <c r="AZ237" s="5"/>
      <c r="BA237" s="5"/>
      <c r="BB237" s="6"/>
      <c r="BC237" s="6"/>
      <c r="BD237" s="6"/>
      <c r="BE237" s="6"/>
      <c r="BF237" s="5"/>
      <c r="BG237" s="5"/>
      <c r="BH237" s="6"/>
      <c r="BI237" s="6"/>
      <c r="BJ237" s="6"/>
      <c r="BK237" s="6"/>
      <c r="BL237" s="6"/>
      <c r="BM237" s="6"/>
      <c r="BN237" s="6"/>
      <c r="BO237" s="6"/>
      <c r="BP237" s="6"/>
      <c r="BQ237" s="6"/>
    </row>
    <row r="238" spans="1:69" ht="28.8" x14ac:dyDescent="0.3">
      <c r="A238" s="129"/>
      <c r="B238" s="63">
        <v>235</v>
      </c>
      <c r="C238" s="81" t="s">
        <v>599</v>
      </c>
      <c r="D238" s="5" t="s">
        <v>4</v>
      </c>
      <c r="E238" s="5">
        <v>2</v>
      </c>
      <c r="F238" s="15" t="s">
        <v>598</v>
      </c>
      <c r="G238" s="8" t="s">
        <v>623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17">
        <v>7.98</v>
      </c>
      <c r="AI238" s="17">
        <f t="shared" si="10"/>
        <v>15.96</v>
      </c>
      <c r="AJ238" s="5"/>
      <c r="AK238" s="5"/>
      <c r="AL238" s="5"/>
      <c r="AM238" s="5"/>
      <c r="AN238" s="5"/>
      <c r="AO238" s="45"/>
      <c r="AP238" s="6"/>
      <c r="AQ238" s="50"/>
      <c r="AR238" s="6"/>
      <c r="AS238" s="6"/>
      <c r="AT238" s="6"/>
      <c r="AU238" s="6"/>
      <c r="AV238" s="7"/>
      <c r="AW238" s="7"/>
      <c r="AX238" s="7"/>
      <c r="AY238" s="7"/>
      <c r="AZ238" s="5"/>
      <c r="BA238" s="5"/>
      <c r="BB238" s="6"/>
      <c r="BC238" s="6"/>
      <c r="BD238" s="6"/>
      <c r="BE238" s="6"/>
      <c r="BF238" s="5"/>
      <c r="BG238" s="5"/>
      <c r="BH238" s="6"/>
      <c r="BI238" s="6"/>
      <c r="BJ238" s="6"/>
      <c r="BK238" s="6"/>
      <c r="BL238" s="6"/>
      <c r="BM238" s="6"/>
      <c r="BN238" s="6"/>
      <c r="BO238" s="6"/>
      <c r="BP238" s="6"/>
      <c r="BQ238" s="6"/>
    </row>
    <row r="239" spans="1:69" ht="28.8" x14ac:dyDescent="0.3">
      <c r="A239" s="129"/>
      <c r="B239" s="63">
        <v>236</v>
      </c>
      <c r="C239" s="80" t="s">
        <v>601</v>
      </c>
      <c r="D239" s="5" t="s">
        <v>4</v>
      </c>
      <c r="E239" s="5">
        <v>2</v>
      </c>
      <c r="F239" s="15" t="s">
        <v>600</v>
      </c>
      <c r="G239" s="8" t="s">
        <v>623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17">
        <v>12.29</v>
      </c>
      <c r="AI239" s="17">
        <f t="shared" si="10"/>
        <v>24.58</v>
      </c>
      <c r="AJ239" s="5"/>
      <c r="AK239" s="5"/>
      <c r="AL239" s="5"/>
      <c r="AM239" s="5"/>
      <c r="AN239" s="5"/>
      <c r="AO239" s="5"/>
      <c r="AP239" s="6"/>
      <c r="AQ239" s="6"/>
      <c r="AR239" s="6"/>
      <c r="AS239" s="6"/>
      <c r="AT239" s="6"/>
      <c r="AU239" s="6"/>
      <c r="AV239" s="7"/>
      <c r="AW239" s="7"/>
      <c r="AX239" s="7"/>
      <c r="AY239" s="7"/>
      <c r="AZ239" s="5"/>
      <c r="BA239" s="5"/>
      <c r="BB239" s="6"/>
      <c r="BC239" s="6"/>
      <c r="BD239" s="6"/>
      <c r="BE239" s="6"/>
      <c r="BF239" s="5"/>
      <c r="BG239" s="5"/>
      <c r="BH239" s="6"/>
      <c r="BI239" s="6"/>
      <c r="BJ239" s="6"/>
      <c r="BK239" s="6"/>
      <c r="BL239" s="6"/>
      <c r="BM239" s="6"/>
      <c r="BN239" s="6"/>
      <c r="BO239" s="6"/>
      <c r="BP239" s="6"/>
      <c r="BQ239" s="6"/>
    </row>
    <row r="240" spans="1:69" ht="28.8" x14ac:dyDescent="0.3">
      <c r="A240" s="129"/>
      <c r="B240" s="63">
        <v>237</v>
      </c>
      <c r="C240" s="57" t="s">
        <v>343</v>
      </c>
      <c r="D240" s="30" t="s">
        <v>4</v>
      </c>
      <c r="E240" s="30">
        <v>25</v>
      </c>
      <c r="F240" s="31" t="s">
        <v>342</v>
      </c>
      <c r="G240" s="36" t="s">
        <v>420</v>
      </c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4">
        <v>15.11</v>
      </c>
      <c r="AI240" s="34">
        <f t="shared" si="10"/>
        <v>377.75</v>
      </c>
      <c r="AJ240" s="30"/>
      <c r="AK240" s="30"/>
      <c r="AL240" s="30"/>
      <c r="AM240" s="30"/>
      <c r="AN240" s="30"/>
      <c r="AO240" s="47"/>
      <c r="AP240" s="33"/>
      <c r="AQ240" s="59"/>
      <c r="AR240" s="33"/>
      <c r="AS240" s="33"/>
      <c r="AT240" s="33"/>
      <c r="AU240" s="33"/>
      <c r="AV240" s="22"/>
      <c r="AW240" s="22"/>
      <c r="AX240" s="22"/>
      <c r="AY240" s="22"/>
      <c r="AZ240" s="5"/>
      <c r="BA240" s="5"/>
      <c r="BB240" s="6"/>
      <c r="BC240" s="6"/>
      <c r="BD240" s="6"/>
      <c r="BE240" s="6"/>
      <c r="BF240" s="5"/>
      <c r="BG240" s="5"/>
      <c r="BH240" s="6"/>
      <c r="BI240" s="6"/>
      <c r="BJ240" s="6"/>
      <c r="BK240" s="6"/>
      <c r="BL240" s="6"/>
      <c r="BM240" s="6"/>
      <c r="BN240" s="6"/>
      <c r="BO240" s="6"/>
      <c r="BP240" s="6"/>
      <c r="BQ240" s="6"/>
    </row>
    <row r="241" spans="1:69" ht="28.8" x14ac:dyDescent="0.3">
      <c r="A241" s="129"/>
      <c r="B241" s="63">
        <v>238</v>
      </c>
      <c r="C241" s="57" t="s">
        <v>428</v>
      </c>
      <c r="D241" s="5" t="s">
        <v>4</v>
      </c>
      <c r="E241" s="5">
        <v>20</v>
      </c>
      <c r="F241" s="15" t="s">
        <v>427</v>
      </c>
      <c r="G241" s="8" t="s">
        <v>420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17">
        <v>3.2477</v>
      </c>
      <c r="AI241" s="17">
        <f t="shared" si="10"/>
        <v>64.954000000000008</v>
      </c>
      <c r="AJ241" s="5"/>
      <c r="AK241" s="5"/>
      <c r="AL241" s="5"/>
      <c r="AM241" s="5"/>
      <c r="AN241" s="5"/>
      <c r="AO241" s="45"/>
      <c r="AP241" s="6"/>
      <c r="AQ241" s="50"/>
      <c r="AR241" s="6"/>
      <c r="AS241" s="6"/>
      <c r="AT241" s="6"/>
      <c r="AU241" s="6"/>
      <c r="AV241" s="7"/>
      <c r="AW241" s="7"/>
      <c r="AX241" s="7"/>
      <c r="AY241" s="7"/>
      <c r="AZ241" s="5"/>
      <c r="BA241" s="5"/>
      <c r="BB241" s="6"/>
      <c r="BC241" s="6"/>
      <c r="BD241" s="6"/>
      <c r="BE241" s="6"/>
      <c r="BF241" s="5"/>
      <c r="BG241" s="5"/>
      <c r="BH241" s="6"/>
      <c r="BI241" s="6"/>
      <c r="BJ241" s="6"/>
      <c r="BK241" s="6"/>
      <c r="BL241" s="6"/>
      <c r="BM241" s="6"/>
      <c r="BN241" s="6"/>
      <c r="BO241" s="6"/>
      <c r="BP241" s="6"/>
      <c r="BQ241" s="6"/>
    </row>
    <row r="242" spans="1:69" ht="28.8" x14ac:dyDescent="0.3">
      <c r="A242" s="129"/>
      <c r="B242" s="63">
        <v>239</v>
      </c>
      <c r="C242" s="55" t="s">
        <v>430</v>
      </c>
      <c r="D242" s="5" t="s">
        <v>4</v>
      </c>
      <c r="E242" s="5">
        <v>100</v>
      </c>
      <c r="F242" s="15" t="s">
        <v>429</v>
      </c>
      <c r="G242" s="8" t="s">
        <v>420</v>
      </c>
      <c r="H242" s="6" t="s">
        <v>994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17">
        <v>0.23633999999999999</v>
      </c>
      <c r="AI242" s="17">
        <f t="shared" si="10"/>
        <v>23.634</v>
      </c>
      <c r="AJ242" s="5"/>
      <c r="AK242" s="5"/>
      <c r="AL242" s="5"/>
      <c r="AM242" s="5"/>
      <c r="AN242" s="5"/>
      <c r="AO242" s="45"/>
      <c r="AP242" s="6"/>
      <c r="AQ242" s="50"/>
      <c r="AR242" s="6"/>
      <c r="AS242" s="6"/>
      <c r="AT242" s="6"/>
      <c r="AU242" s="6"/>
      <c r="AV242" s="7"/>
      <c r="AW242" s="7"/>
      <c r="AX242" s="7"/>
      <c r="AY242" s="7"/>
      <c r="AZ242" s="5"/>
      <c r="BA242" s="5"/>
      <c r="BB242" s="6"/>
      <c r="BC242" s="6"/>
      <c r="BD242" s="6"/>
      <c r="BE242" s="6"/>
      <c r="BF242" s="5"/>
      <c r="BG242" s="5"/>
      <c r="BH242" s="6"/>
      <c r="BI242" s="6"/>
      <c r="BJ242" s="6"/>
      <c r="BK242" s="6"/>
      <c r="BL242" s="6"/>
      <c r="BM242" s="6"/>
      <c r="BN242" s="6"/>
      <c r="BO242" s="6"/>
      <c r="BP242" s="6"/>
      <c r="BQ242" s="6"/>
    </row>
    <row r="243" spans="1:69" ht="28.8" x14ac:dyDescent="0.3">
      <c r="A243" s="129"/>
      <c r="B243" s="63">
        <v>240</v>
      </c>
      <c r="C243" s="57" t="s">
        <v>432</v>
      </c>
      <c r="D243" s="5" t="s">
        <v>4</v>
      </c>
      <c r="E243" s="5">
        <v>20</v>
      </c>
      <c r="F243" s="15" t="s">
        <v>431</v>
      </c>
      <c r="G243" s="8" t="s">
        <v>420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17">
        <v>1.1687000000000001</v>
      </c>
      <c r="AI243" s="17">
        <f t="shared" si="10"/>
        <v>23.374000000000002</v>
      </c>
      <c r="AJ243" s="5"/>
      <c r="AK243" s="5"/>
      <c r="AL243" s="5"/>
      <c r="AM243" s="5"/>
      <c r="AN243" s="5"/>
      <c r="AO243" s="45"/>
      <c r="AP243" s="6"/>
      <c r="AQ243" s="50"/>
      <c r="AR243" s="6"/>
      <c r="AS243" s="6"/>
      <c r="AT243" s="6"/>
      <c r="AU243" s="6"/>
      <c r="AV243" s="7"/>
      <c r="AW243" s="7"/>
      <c r="AX243" s="7"/>
      <c r="AY243" s="7"/>
      <c r="AZ243" s="5"/>
      <c r="BA243" s="5"/>
      <c r="BB243" s="6"/>
      <c r="BC243" s="6"/>
      <c r="BD243" s="6"/>
      <c r="BE243" s="6"/>
      <c r="BF243" s="5"/>
      <c r="BG243" s="5"/>
      <c r="BH243" s="6"/>
      <c r="BI243" s="6"/>
      <c r="BJ243" s="6"/>
      <c r="BK243" s="6"/>
      <c r="BL243" s="6"/>
      <c r="BM243" s="6"/>
      <c r="BN243" s="6"/>
      <c r="BO243" s="6"/>
      <c r="BP243" s="6"/>
      <c r="BQ243" s="6"/>
    </row>
    <row r="244" spans="1:69" ht="28.8" x14ac:dyDescent="0.3">
      <c r="A244" s="129"/>
      <c r="B244" s="63">
        <v>241</v>
      </c>
      <c r="C244" s="55" t="s">
        <v>437</v>
      </c>
      <c r="D244" s="5" t="s">
        <v>4</v>
      </c>
      <c r="E244" s="5">
        <v>100</v>
      </c>
      <c r="F244" s="15" t="s">
        <v>433</v>
      </c>
      <c r="G244" s="8" t="s">
        <v>420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17">
        <v>0.21034</v>
      </c>
      <c r="AI244" s="17">
        <f t="shared" si="10"/>
        <v>21.033999999999999</v>
      </c>
      <c r="AJ244" s="5"/>
      <c r="AK244" s="5"/>
      <c r="AL244" s="5"/>
      <c r="AM244" s="5"/>
      <c r="AN244" s="5"/>
      <c r="AO244" s="45"/>
      <c r="AP244" s="6"/>
      <c r="AQ244" s="50"/>
      <c r="AR244" s="6"/>
      <c r="AS244" s="6"/>
      <c r="AT244" s="6"/>
      <c r="AU244" s="6"/>
      <c r="AV244" s="7"/>
      <c r="AW244" s="7"/>
      <c r="AX244" s="7"/>
      <c r="AY244" s="7"/>
      <c r="AZ244" s="5"/>
      <c r="BA244" s="5"/>
      <c r="BB244" s="6"/>
      <c r="BC244" s="6"/>
      <c r="BD244" s="6"/>
      <c r="BE244" s="6"/>
      <c r="BF244" s="5"/>
      <c r="BG244" s="5"/>
      <c r="BH244" s="6"/>
      <c r="BI244" s="6"/>
      <c r="BJ244" s="6"/>
      <c r="BK244" s="6"/>
      <c r="BL244" s="6"/>
      <c r="BM244" s="6"/>
      <c r="BN244" s="6"/>
      <c r="BO244" s="6"/>
      <c r="BP244" s="6"/>
      <c r="BQ244" s="6"/>
    </row>
    <row r="245" spans="1:69" ht="28.8" x14ac:dyDescent="0.3">
      <c r="A245" s="129"/>
      <c r="B245" s="63">
        <v>242</v>
      </c>
      <c r="C245" s="57" t="s">
        <v>438</v>
      </c>
      <c r="D245" s="5" t="s">
        <v>4</v>
      </c>
      <c r="E245" s="5">
        <v>100</v>
      </c>
      <c r="F245" s="15" t="s">
        <v>434</v>
      </c>
      <c r="G245" s="8" t="s">
        <v>420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17">
        <v>0.21034</v>
      </c>
      <c r="AI245" s="17">
        <f t="shared" si="10"/>
        <v>21.033999999999999</v>
      </c>
      <c r="AJ245" s="5"/>
      <c r="AK245" s="5"/>
      <c r="AL245" s="5"/>
      <c r="AM245" s="5"/>
      <c r="AN245" s="5"/>
      <c r="AO245" s="45"/>
      <c r="AP245" s="6"/>
      <c r="AQ245" s="50"/>
      <c r="AR245" s="6"/>
      <c r="AS245" s="6"/>
      <c r="AT245" s="6"/>
      <c r="AU245" s="6"/>
      <c r="AV245" s="7"/>
      <c r="AW245" s="7"/>
      <c r="AX245" s="7"/>
      <c r="AY245" s="7"/>
      <c r="AZ245" s="5"/>
      <c r="BA245" s="5"/>
      <c r="BB245" s="6"/>
      <c r="BC245" s="6"/>
      <c r="BD245" s="6"/>
      <c r="BE245" s="6"/>
      <c r="BF245" s="5"/>
      <c r="BG245" s="5"/>
      <c r="BH245" s="6"/>
      <c r="BI245" s="6"/>
      <c r="BJ245" s="6"/>
      <c r="BK245" s="6"/>
      <c r="BL245" s="6"/>
      <c r="BM245" s="6"/>
      <c r="BN245" s="6"/>
      <c r="BO245" s="6"/>
      <c r="BP245" s="6"/>
      <c r="BQ245" s="6"/>
    </row>
    <row r="246" spans="1:69" ht="28.8" x14ac:dyDescent="0.3">
      <c r="A246" s="129"/>
      <c r="B246" s="63">
        <v>243</v>
      </c>
      <c r="C246" s="57" t="s">
        <v>339</v>
      </c>
      <c r="D246" s="5" t="s">
        <v>4</v>
      </c>
      <c r="E246" s="5">
        <v>100</v>
      </c>
      <c r="F246" s="15" t="s">
        <v>338</v>
      </c>
      <c r="G246" s="8" t="s">
        <v>420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17">
        <v>0.59558</v>
      </c>
      <c r="AI246" s="17">
        <f t="shared" si="10"/>
        <v>59.558</v>
      </c>
      <c r="AJ246" s="5"/>
      <c r="AK246" s="5"/>
      <c r="AL246" s="5"/>
      <c r="AM246" s="5"/>
      <c r="AN246" s="5"/>
      <c r="AO246" s="45"/>
      <c r="AP246" s="6"/>
      <c r="AQ246" s="50"/>
      <c r="AR246" s="6"/>
      <c r="AS246" s="6"/>
      <c r="AT246" s="6"/>
      <c r="AU246" s="6"/>
      <c r="AV246" s="7"/>
      <c r="AW246" s="7"/>
      <c r="AX246" s="7"/>
      <c r="AY246" s="7"/>
      <c r="AZ246" s="5"/>
      <c r="BA246" s="5"/>
      <c r="BB246" s="6"/>
      <c r="BC246" s="6"/>
      <c r="BD246" s="6"/>
      <c r="BE246" s="6"/>
      <c r="BF246" s="5"/>
      <c r="BG246" s="5"/>
      <c r="BH246" s="6"/>
      <c r="BI246" s="6"/>
      <c r="BJ246" s="6"/>
      <c r="BK246" s="6"/>
      <c r="BL246" s="6"/>
      <c r="BM246" s="6"/>
      <c r="BN246" s="6"/>
      <c r="BO246" s="6"/>
      <c r="BP246" s="6"/>
      <c r="BQ246" s="6"/>
    </row>
    <row r="247" spans="1:69" ht="28.8" x14ac:dyDescent="0.3">
      <c r="A247" s="129"/>
      <c r="B247" s="63">
        <v>244</v>
      </c>
      <c r="C247" s="57" t="s">
        <v>436</v>
      </c>
      <c r="D247" s="5" t="s">
        <v>4</v>
      </c>
      <c r="E247" s="5">
        <v>10</v>
      </c>
      <c r="F247" s="15" t="s">
        <v>435</v>
      </c>
      <c r="G247" s="8" t="s">
        <v>420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17">
        <v>26.22</v>
      </c>
      <c r="AI247" s="17">
        <f t="shared" si="10"/>
        <v>262.2</v>
      </c>
      <c r="AJ247" s="5"/>
      <c r="AK247" s="5"/>
      <c r="AL247" s="5"/>
      <c r="AM247" s="5"/>
      <c r="AN247" s="5"/>
      <c r="AO247" s="45"/>
      <c r="AP247" s="6"/>
      <c r="AQ247" s="50"/>
      <c r="AR247" s="6"/>
      <c r="AS247" s="6"/>
      <c r="AT247" s="6"/>
      <c r="AU247" s="6"/>
      <c r="AV247" s="7"/>
      <c r="AW247" s="7"/>
      <c r="AX247" s="7"/>
      <c r="AY247" s="7"/>
      <c r="AZ247" s="5"/>
      <c r="BA247" s="5"/>
      <c r="BB247" s="6"/>
      <c r="BC247" s="6"/>
      <c r="BD247" s="6"/>
      <c r="BE247" s="6"/>
      <c r="BF247" s="5"/>
      <c r="BG247" s="5"/>
      <c r="BH247" s="6"/>
      <c r="BI247" s="6"/>
      <c r="BJ247" s="6"/>
      <c r="BK247" s="6"/>
      <c r="BL247" s="6"/>
      <c r="BM247" s="6"/>
      <c r="BN247" s="6"/>
      <c r="BO247" s="6"/>
      <c r="BP247" s="6"/>
      <c r="BQ247" s="6"/>
    </row>
    <row r="248" spans="1:69" ht="28.8" x14ac:dyDescent="0.3">
      <c r="A248" s="129"/>
      <c r="B248" s="63">
        <v>245</v>
      </c>
      <c r="C248" s="57" t="s">
        <v>440</v>
      </c>
      <c r="D248" s="5" t="s">
        <v>4</v>
      </c>
      <c r="E248" s="5">
        <v>100</v>
      </c>
      <c r="F248" s="15" t="s">
        <v>439</v>
      </c>
      <c r="G248" s="8" t="s">
        <v>420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17">
        <v>0.23633999999999999</v>
      </c>
      <c r="AI248" s="17">
        <f t="shared" si="10"/>
        <v>23.634</v>
      </c>
      <c r="AJ248" s="5"/>
      <c r="AK248" s="5"/>
      <c r="AL248" s="5"/>
      <c r="AM248" s="5"/>
      <c r="AN248" s="5"/>
      <c r="AO248" s="45"/>
      <c r="AP248" s="6"/>
      <c r="AQ248" s="50"/>
      <c r="AR248" s="6"/>
      <c r="AS248" s="6"/>
      <c r="AT248" s="6"/>
      <c r="AU248" s="6"/>
      <c r="AV248" s="7"/>
      <c r="AW248" s="7"/>
      <c r="AX248" s="7"/>
      <c r="AY248" s="7"/>
      <c r="AZ248" s="5"/>
      <c r="BA248" s="5"/>
      <c r="BB248" s="6"/>
      <c r="BC248" s="6"/>
      <c r="BD248" s="6"/>
      <c r="BE248" s="6"/>
      <c r="BF248" s="5"/>
      <c r="BG248" s="5"/>
      <c r="BH248" s="6"/>
      <c r="BI248" s="6"/>
      <c r="BJ248" s="6"/>
      <c r="BK248" s="6"/>
      <c r="BL248" s="6"/>
      <c r="BM248" s="6"/>
      <c r="BN248" s="6"/>
      <c r="BO248" s="6"/>
      <c r="BP248" s="6"/>
      <c r="BQ248" s="6"/>
    </row>
    <row r="249" spans="1:69" ht="28.8" x14ac:dyDescent="0.3">
      <c r="A249" s="129"/>
      <c r="B249" s="63">
        <v>246</v>
      </c>
      <c r="C249" s="55" t="s">
        <v>442</v>
      </c>
      <c r="D249" s="5" t="s">
        <v>4</v>
      </c>
      <c r="E249" s="5">
        <v>100</v>
      </c>
      <c r="F249" s="15" t="s">
        <v>441</v>
      </c>
      <c r="G249" s="8" t="s">
        <v>420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17">
        <v>6.7360000000000003E-2</v>
      </c>
      <c r="AI249" s="17">
        <f t="shared" si="10"/>
        <v>6.7360000000000007</v>
      </c>
      <c r="AJ249" s="5"/>
      <c r="AK249" s="5"/>
      <c r="AL249" s="5"/>
      <c r="AM249" s="5"/>
      <c r="AN249" s="5"/>
      <c r="AO249" s="45"/>
      <c r="AP249" s="6"/>
      <c r="AQ249" s="50"/>
      <c r="AR249" s="6"/>
      <c r="AS249" s="6"/>
      <c r="AT249" s="6"/>
      <c r="AU249" s="6"/>
      <c r="AV249" s="7"/>
      <c r="AW249" s="7"/>
      <c r="AX249" s="7"/>
      <c r="AY249" s="7"/>
      <c r="AZ249" s="5"/>
      <c r="BA249" s="5"/>
      <c r="BB249" s="6"/>
      <c r="BC249" s="6"/>
      <c r="BD249" s="6"/>
      <c r="BE249" s="6"/>
      <c r="BF249" s="5"/>
      <c r="BG249" s="5"/>
      <c r="BH249" s="6"/>
      <c r="BI249" s="6"/>
      <c r="BJ249" s="6"/>
      <c r="BK249" s="6"/>
      <c r="BL249" s="6"/>
      <c r="BM249" s="6"/>
      <c r="BN249" s="6"/>
      <c r="BO249" s="6"/>
      <c r="BP249" s="6"/>
      <c r="BQ249" s="6"/>
    </row>
    <row r="250" spans="1:69" ht="28.8" x14ac:dyDescent="0.3">
      <c r="A250" s="129"/>
      <c r="B250" s="63">
        <v>247</v>
      </c>
      <c r="C250" s="57" t="s">
        <v>444</v>
      </c>
      <c r="D250" s="5" t="s">
        <v>4</v>
      </c>
      <c r="E250" s="5">
        <v>100</v>
      </c>
      <c r="F250" s="15" t="s">
        <v>443</v>
      </c>
      <c r="G250" s="8" t="s">
        <v>420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17">
        <v>0.23633999999999999</v>
      </c>
      <c r="AI250" s="17">
        <f t="shared" si="10"/>
        <v>23.634</v>
      </c>
      <c r="AJ250" s="5"/>
      <c r="AK250" s="5"/>
      <c r="AL250" s="5"/>
      <c r="AM250" s="5"/>
      <c r="AN250" s="5"/>
      <c r="AO250" s="5"/>
      <c r="AP250" s="6"/>
      <c r="AQ250" s="6"/>
      <c r="AR250" s="6"/>
      <c r="AS250" s="6"/>
      <c r="AT250" s="6"/>
      <c r="AU250" s="6"/>
      <c r="AV250" s="7"/>
      <c r="AW250" s="7"/>
      <c r="AX250" s="7"/>
      <c r="AY250" s="7"/>
      <c r="AZ250" s="5"/>
      <c r="BA250" s="5"/>
      <c r="BB250" s="6"/>
      <c r="BC250" s="6"/>
      <c r="BD250" s="6"/>
      <c r="BE250" s="6"/>
      <c r="BF250" s="5"/>
      <c r="BG250" s="5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 spans="1:69" ht="28.8" x14ac:dyDescent="0.3">
      <c r="A251" s="129"/>
      <c r="B251" s="63">
        <v>248</v>
      </c>
      <c r="C251" s="55" t="s">
        <v>446</v>
      </c>
      <c r="D251" s="5" t="s">
        <v>4</v>
      </c>
      <c r="E251" s="5">
        <v>100</v>
      </c>
      <c r="F251" s="15" t="s">
        <v>445</v>
      </c>
      <c r="G251" s="8" t="s">
        <v>420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17">
        <v>0.23633999999999999</v>
      </c>
      <c r="AI251" s="17">
        <f t="shared" si="10"/>
        <v>23.634</v>
      </c>
      <c r="AJ251" s="5"/>
      <c r="AK251" s="5"/>
      <c r="AL251" s="5"/>
      <c r="AM251" s="5"/>
      <c r="AN251" s="5"/>
      <c r="AO251" s="5"/>
      <c r="AP251" s="6"/>
      <c r="AQ251" s="6"/>
      <c r="AR251" s="6"/>
      <c r="AS251" s="6"/>
      <c r="AT251" s="6"/>
      <c r="AU251" s="6"/>
      <c r="AV251" s="7"/>
      <c r="AW251" s="7"/>
      <c r="AX251" s="7"/>
      <c r="AY251" s="7"/>
      <c r="AZ251" s="5"/>
      <c r="BA251" s="5"/>
      <c r="BB251" s="6"/>
      <c r="BC251" s="6"/>
      <c r="BD251" s="6"/>
      <c r="BE251" s="6"/>
      <c r="BF251" s="5"/>
      <c r="BG251" s="5"/>
      <c r="BH251" s="6"/>
      <c r="BI251" s="6"/>
      <c r="BJ251" s="6"/>
      <c r="BK251" s="6"/>
      <c r="BL251" s="6"/>
      <c r="BM251" s="6"/>
      <c r="BN251" s="6"/>
      <c r="BO251" s="6"/>
      <c r="BP251" s="6"/>
      <c r="BQ251" s="6"/>
    </row>
    <row r="252" spans="1:69" ht="28.8" x14ac:dyDescent="0.3">
      <c r="A252" s="129"/>
      <c r="B252" s="63">
        <v>249</v>
      </c>
      <c r="C252" s="57" t="s">
        <v>321</v>
      </c>
      <c r="D252" s="5" t="s">
        <v>4</v>
      </c>
      <c r="E252" s="5">
        <v>10</v>
      </c>
      <c r="F252" s="15" t="s">
        <v>320</v>
      </c>
      <c r="G252" s="8" t="s">
        <v>420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17">
        <v>7.08</v>
      </c>
      <c r="AI252" s="17">
        <f t="shared" si="10"/>
        <v>70.8</v>
      </c>
      <c r="AJ252" s="5"/>
      <c r="AK252" s="5"/>
      <c r="AL252" s="5"/>
      <c r="AM252" s="5"/>
      <c r="AN252" s="5"/>
      <c r="AO252" s="5"/>
      <c r="AP252" s="6"/>
      <c r="AQ252" s="6"/>
      <c r="AR252" s="6"/>
      <c r="AS252" s="6"/>
      <c r="AT252" s="6"/>
      <c r="AU252" s="6"/>
      <c r="AV252" s="7"/>
      <c r="AW252" s="7"/>
      <c r="AX252" s="7"/>
      <c r="AY252" s="7"/>
      <c r="AZ252" s="5"/>
      <c r="BA252" s="5"/>
      <c r="BB252" s="6"/>
      <c r="BC252" s="6"/>
      <c r="BD252" s="6"/>
      <c r="BE252" s="6"/>
      <c r="BF252" s="5"/>
      <c r="BG252" s="5"/>
      <c r="BH252" s="6"/>
      <c r="BI252" s="6"/>
      <c r="BJ252" s="6"/>
      <c r="BK252" s="6"/>
      <c r="BL252" s="6"/>
      <c r="BM252" s="6"/>
      <c r="BN252" s="6"/>
      <c r="BO252" s="6"/>
      <c r="BP252" s="6"/>
      <c r="BQ252" s="6"/>
    </row>
    <row r="253" spans="1:69" ht="28.8" x14ac:dyDescent="0.3">
      <c r="A253" s="129"/>
      <c r="B253" s="63">
        <v>250</v>
      </c>
      <c r="C253" s="55" t="s">
        <v>448</v>
      </c>
      <c r="D253" s="5" t="s">
        <v>4</v>
      </c>
      <c r="E253" s="5">
        <v>100</v>
      </c>
      <c r="F253" s="15" t="s">
        <v>447</v>
      </c>
      <c r="G253" s="8" t="s">
        <v>420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17">
        <v>1.0624400000000001</v>
      </c>
      <c r="AI253" s="17">
        <f t="shared" si="10"/>
        <v>106.244</v>
      </c>
      <c r="AJ253" s="5"/>
      <c r="AK253" s="5"/>
      <c r="AL253" s="5"/>
      <c r="AM253" s="5"/>
      <c r="AN253" s="5"/>
      <c r="AO253" s="45"/>
      <c r="AP253" s="6"/>
      <c r="AQ253" s="50"/>
      <c r="AR253" s="6"/>
      <c r="AS253" s="6"/>
      <c r="AT253" s="6"/>
      <c r="AU253" s="6"/>
      <c r="AV253" s="7"/>
      <c r="AW253" s="7"/>
      <c r="AX253" s="7"/>
      <c r="AY253" s="7"/>
      <c r="AZ253" s="5"/>
      <c r="BA253" s="5"/>
      <c r="BB253" s="6"/>
      <c r="BC253" s="6"/>
      <c r="BD253" s="6"/>
      <c r="BE253" s="6"/>
      <c r="BF253" s="5"/>
      <c r="BG253" s="5"/>
      <c r="BH253" s="6"/>
      <c r="BI253" s="6"/>
      <c r="BJ253" s="6"/>
      <c r="BK253" s="6"/>
      <c r="BL253" s="6"/>
      <c r="BM253" s="6"/>
      <c r="BN253" s="6"/>
      <c r="BO253" s="6"/>
      <c r="BP253" s="6"/>
      <c r="BQ253" s="6"/>
    </row>
    <row r="254" spans="1:69" ht="28.8" x14ac:dyDescent="0.3">
      <c r="A254" s="129"/>
      <c r="B254" s="63">
        <v>251</v>
      </c>
      <c r="C254" s="57" t="s">
        <v>450</v>
      </c>
      <c r="D254" s="5" t="s">
        <v>4</v>
      </c>
      <c r="E254" s="5">
        <v>10</v>
      </c>
      <c r="F254" s="15" t="s">
        <v>449</v>
      </c>
      <c r="G254" s="8" t="s">
        <v>420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17">
        <v>3.2098</v>
      </c>
      <c r="AI254" s="17">
        <f t="shared" si="10"/>
        <v>32.097999999999999</v>
      </c>
      <c r="AJ254" s="5"/>
      <c r="AK254" s="5"/>
      <c r="AL254" s="5"/>
      <c r="AM254" s="5"/>
      <c r="AN254" s="5"/>
      <c r="AO254" s="45"/>
      <c r="AP254" s="6"/>
      <c r="AQ254" s="50"/>
      <c r="AR254" s="6"/>
      <c r="AS254" s="6"/>
      <c r="AT254" s="6"/>
      <c r="AU254" s="6"/>
      <c r="AV254" s="7"/>
      <c r="AW254" s="7"/>
      <c r="AX254" s="7"/>
      <c r="AY254" s="7"/>
      <c r="AZ254" s="5"/>
      <c r="BA254" s="5"/>
      <c r="BB254" s="6"/>
      <c r="BC254" s="6"/>
      <c r="BD254" s="6"/>
      <c r="BE254" s="6"/>
      <c r="BF254" s="5"/>
      <c r="BG254" s="5"/>
      <c r="BH254" s="6"/>
      <c r="BI254" s="6"/>
      <c r="BJ254" s="6"/>
      <c r="BK254" s="6"/>
      <c r="BL254" s="6"/>
      <c r="BM254" s="6"/>
      <c r="BN254" s="6"/>
      <c r="BO254" s="6"/>
      <c r="BP254" s="6"/>
      <c r="BQ254" s="6"/>
    </row>
    <row r="255" spans="1:69" ht="28.8" x14ac:dyDescent="0.3">
      <c r="A255" s="129"/>
      <c r="B255" s="63">
        <v>252</v>
      </c>
      <c r="C255" s="55" t="s">
        <v>452</v>
      </c>
      <c r="D255" s="5" t="s">
        <v>4</v>
      </c>
      <c r="E255" s="5">
        <v>100</v>
      </c>
      <c r="F255" s="15" t="s">
        <v>451</v>
      </c>
      <c r="G255" s="8" t="s">
        <v>420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17">
        <v>8.0360000000000001E-2</v>
      </c>
      <c r="AI255" s="17">
        <f t="shared" si="10"/>
        <v>8.0359999999999996</v>
      </c>
      <c r="AJ255" s="5"/>
      <c r="AK255" s="5"/>
      <c r="AL255" s="5"/>
      <c r="AM255" s="5"/>
      <c r="AN255" s="5"/>
      <c r="AO255" s="45"/>
      <c r="AP255" s="6"/>
      <c r="AQ255" s="50"/>
      <c r="AR255" s="6"/>
      <c r="AS255" s="6"/>
      <c r="AT255" s="6"/>
      <c r="AU255" s="6"/>
      <c r="AV255" s="7"/>
      <c r="AW255" s="7"/>
      <c r="AX255" s="7"/>
      <c r="AY255" s="7"/>
      <c r="AZ255" s="5"/>
      <c r="BA255" s="5"/>
      <c r="BB255" s="6"/>
      <c r="BC255" s="6"/>
      <c r="BD255" s="6"/>
      <c r="BE255" s="6"/>
      <c r="BF255" s="5"/>
      <c r="BG255" s="5"/>
      <c r="BH255" s="6"/>
      <c r="BI255" s="6"/>
      <c r="BJ255" s="6"/>
      <c r="BK255" s="6"/>
      <c r="BL255" s="6"/>
      <c r="BM255" s="6"/>
      <c r="BN255" s="6"/>
      <c r="BO255" s="6"/>
      <c r="BP255" s="6"/>
      <c r="BQ255" s="6"/>
    </row>
    <row r="256" spans="1:69" ht="28.8" x14ac:dyDescent="0.3">
      <c r="A256" s="129"/>
      <c r="B256" s="63">
        <v>253</v>
      </c>
      <c r="C256" s="57" t="s">
        <v>454</v>
      </c>
      <c r="D256" s="5" t="s">
        <v>4</v>
      </c>
      <c r="E256" s="5">
        <v>20</v>
      </c>
      <c r="F256" s="15" t="s">
        <v>453</v>
      </c>
      <c r="G256" s="8" t="s">
        <v>420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17">
        <v>2.81386</v>
      </c>
      <c r="AI256" s="17">
        <f t="shared" si="10"/>
        <v>56.277200000000001</v>
      </c>
      <c r="AJ256" s="5"/>
      <c r="AK256" s="5"/>
      <c r="AL256" s="5"/>
      <c r="AM256" s="5"/>
      <c r="AN256" s="5"/>
      <c r="AO256" s="45"/>
      <c r="AP256" s="6"/>
      <c r="AQ256" s="50"/>
      <c r="AR256" s="6"/>
      <c r="AS256" s="6"/>
      <c r="AT256" s="6"/>
      <c r="AU256" s="6"/>
      <c r="AV256" s="7"/>
      <c r="AW256" s="7"/>
      <c r="AX256" s="7"/>
      <c r="AY256" s="7"/>
      <c r="AZ256" s="5"/>
      <c r="BA256" s="5"/>
      <c r="BB256" s="6"/>
      <c r="BC256" s="6"/>
      <c r="BD256" s="6"/>
      <c r="BE256" s="6"/>
      <c r="BF256" s="5"/>
      <c r="BG256" s="5"/>
      <c r="BH256" s="6"/>
      <c r="BI256" s="6"/>
      <c r="BJ256" s="6"/>
      <c r="BK256" s="6"/>
      <c r="BL256" s="6"/>
      <c r="BM256" s="6"/>
      <c r="BN256" s="6"/>
      <c r="BO256" s="6"/>
      <c r="BP256" s="6"/>
      <c r="BQ256" s="6"/>
    </row>
    <row r="257" spans="1:69" ht="28.8" x14ac:dyDescent="0.3">
      <c r="A257" s="129"/>
      <c r="B257" s="63">
        <v>254</v>
      </c>
      <c r="C257" s="55" t="s">
        <v>456</v>
      </c>
      <c r="D257" s="5" t="s">
        <v>4</v>
      </c>
      <c r="E257" s="5">
        <v>100</v>
      </c>
      <c r="F257" s="15" t="s">
        <v>455</v>
      </c>
      <c r="G257" s="8" t="s">
        <v>420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17">
        <v>0.12053</v>
      </c>
      <c r="AI257" s="17">
        <f t="shared" si="10"/>
        <v>12.052999999999999</v>
      </c>
      <c r="AJ257" s="5"/>
      <c r="AK257" s="5"/>
      <c r="AL257" s="5"/>
      <c r="AM257" s="5"/>
      <c r="AN257" s="5"/>
      <c r="AO257" s="45"/>
      <c r="AP257" s="6"/>
      <c r="AQ257" s="50"/>
      <c r="AR257" s="6"/>
      <c r="AS257" s="6"/>
      <c r="AT257" s="6"/>
      <c r="AU257" s="6"/>
      <c r="AV257" s="7"/>
      <c r="AW257" s="7"/>
      <c r="AX257" s="7"/>
      <c r="AY257" s="7"/>
      <c r="AZ257" s="5"/>
      <c r="BA257" s="5"/>
      <c r="BB257" s="6"/>
      <c r="BC257" s="6"/>
      <c r="BD257" s="6"/>
      <c r="BE257" s="6"/>
      <c r="BF257" s="5"/>
      <c r="BG257" s="5"/>
      <c r="BH257" s="6"/>
      <c r="BI257" s="6"/>
      <c r="BJ257" s="6"/>
      <c r="BK257" s="6"/>
      <c r="BL257" s="6"/>
      <c r="BM257" s="6"/>
      <c r="BN257" s="6"/>
      <c r="BO257" s="6"/>
      <c r="BP257" s="6"/>
      <c r="BQ257" s="6"/>
    </row>
    <row r="258" spans="1:69" ht="28.8" x14ac:dyDescent="0.3">
      <c r="A258" s="129"/>
      <c r="B258" s="63">
        <v>255</v>
      </c>
      <c r="C258" s="57" t="s">
        <v>458</v>
      </c>
      <c r="D258" s="5" t="s">
        <v>4</v>
      </c>
      <c r="E258" s="5">
        <v>20</v>
      </c>
      <c r="F258" s="15" t="s">
        <v>457</v>
      </c>
      <c r="G258" s="8" t="s">
        <v>420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17">
        <v>1.2398499999999999</v>
      </c>
      <c r="AI258" s="17">
        <f t="shared" si="10"/>
        <v>24.796999999999997</v>
      </c>
      <c r="AJ258" s="5"/>
      <c r="AK258" s="5"/>
      <c r="AL258" s="5"/>
      <c r="AM258" s="5"/>
      <c r="AN258" s="5"/>
      <c r="AO258" s="45"/>
      <c r="AP258" s="6"/>
      <c r="AQ258" s="50"/>
      <c r="AR258" s="6"/>
      <c r="AS258" s="6"/>
      <c r="AT258" s="6"/>
      <c r="AU258" s="6"/>
      <c r="AV258" s="7"/>
      <c r="AW258" s="7"/>
      <c r="AX258" s="7"/>
      <c r="AY258" s="7"/>
      <c r="AZ258" s="5"/>
      <c r="BA258" s="5"/>
      <c r="BB258" s="6"/>
      <c r="BC258" s="6"/>
      <c r="BD258" s="6"/>
      <c r="BE258" s="6"/>
      <c r="BF258" s="5"/>
      <c r="BG258" s="5"/>
      <c r="BH258" s="6"/>
      <c r="BI258" s="6"/>
      <c r="BJ258" s="6"/>
      <c r="BK258" s="6"/>
      <c r="BL258" s="6"/>
      <c r="BM258" s="6"/>
      <c r="BN258" s="6"/>
      <c r="BO258" s="6"/>
      <c r="BP258" s="6"/>
      <c r="BQ258" s="6"/>
    </row>
    <row r="259" spans="1:69" ht="28.8" x14ac:dyDescent="0.3">
      <c r="A259" s="129"/>
      <c r="B259" s="63">
        <v>256</v>
      </c>
      <c r="C259" s="55" t="s">
        <v>460</v>
      </c>
      <c r="D259" s="5" t="s">
        <v>4</v>
      </c>
      <c r="E259" s="5">
        <v>10</v>
      </c>
      <c r="F259" s="15" t="s">
        <v>459</v>
      </c>
      <c r="G259" s="8" t="s">
        <v>420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17">
        <v>3.0685500000000001</v>
      </c>
      <c r="AI259" s="17">
        <f t="shared" si="10"/>
        <v>30.685500000000001</v>
      </c>
      <c r="AJ259" s="5"/>
      <c r="AK259" s="5"/>
      <c r="AL259" s="5"/>
      <c r="AM259" s="5"/>
      <c r="AN259" s="5"/>
      <c r="AO259" s="45"/>
      <c r="AP259" s="6"/>
      <c r="AQ259" s="50"/>
      <c r="AR259" s="6"/>
      <c r="AS259" s="6"/>
      <c r="AT259" s="6"/>
      <c r="AU259" s="6"/>
      <c r="AV259" s="7"/>
      <c r="AW259" s="7"/>
      <c r="AX259" s="7"/>
      <c r="AY259" s="7"/>
      <c r="AZ259" s="5"/>
      <c r="BA259" s="5"/>
      <c r="BB259" s="6"/>
      <c r="BC259" s="6"/>
      <c r="BD259" s="6"/>
      <c r="BE259" s="6"/>
      <c r="BF259" s="5"/>
      <c r="BG259" s="5"/>
      <c r="BH259" s="6"/>
      <c r="BI259" s="6"/>
      <c r="BJ259" s="6"/>
      <c r="BK259" s="6"/>
      <c r="BL259" s="6"/>
      <c r="BM259" s="6"/>
      <c r="BN259" s="6"/>
      <c r="BO259" s="6"/>
      <c r="BP259" s="6"/>
      <c r="BQ259" s="6"/>
    </row>
    <row r="260" spans="1:69" ht="28.8" x14ac:dyDescent="0.3">
      <c r="A260" s="129"/>
      <c r="B260" s="63">
        <v>257</v>
      </c>
      <c r="C260" s="57" t="s">
        <v>462</v>
      </c>
      <c r="D260" s="5" t="s">
        <v>4</v>
      </c>
      <c r="E260" s="5">
        <v>50</v>
      </c>
      <c r="F260" s="15" t="s">
        <v>461</v>
      </c>
      <c r="G260" s="8" t="s">
        <v>420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17">
        <v>0.40254000000000001</v>
      </c>
      <c r="AI260" s="17">
        <f t="shared" si="10"/>
        <v>20.126999999999999</v>
      </c>
      <c r="AJ260" s="5"/>
      <c r="AK260" s="5"/>
      <c r="AL260" s="5"/>
      <c r="AM260" s="5"/>
      <c r="AN260" s="5"/>
      <c r="AO260" s="45"/>
      <c r="AP260" s="6"/>
      <c r="AQ260" s="50"/>
      <c r="AR260" s="6"/>
      <c r="AS260" s="6"/>
      <c r="AT260" s="6"/>
      <c r="AU260" s="6"/>
      <c r="AV260" s="7"/>
      <c r="AW260" s="7"/>
      <c r="AX260" s="7"/>
      <c r="AY260" s="7"/>
      <c r="AZ260" s="5"/>
      <c r="BA260" s="5"/>
      <c r="BB260" s="6"/>
      <c r="BC260" s="6"/>
      <c r="BD260" s="6"/>
      <c r="BE260" s="6"/>
      <c r="BF260" s="5"/>
      <c r="BG260" s="5"/>
      <c r="BH260" s="6"/>
      <c r="BI260" s="6"/>
      <c r="BJ260" s="6"/>
      <c r="BK260" s="6"/>
      <c r="BL260" s="6"/>
      <c r="BM260" s="6"/>
      <c r="BN260" s="6"/>
      <c r="BO260" s="6"/>
      <c r="BP260" s="6"/>
      <c r="BQ260" s="6"/>
    </row>
    <row r="261" spans="1:69" ht="28.8" x14ac:dyDescent="0.3">
      <c r="A261" s="129"/>
      <c r="B261" s="63">
        <v>258</v>
      </c>
      <c r="C261" s="55" t="s">
        <v>464</v>
      </c>
      <c r="D261" s="5" t="s">
        <v>4</v>
      </c>
      <c r="E261" s="5">
        <v>100</v>
      </c>
      <c r="F261" s="15" t="s">
        <v>463</v>
      </c>
      <c r="G261" s="8" t="s">
        <v>420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17">
        <v>0.12053</v>
      </c>
      <c r="AI261" s="17">
        <f t="shared" si="10"/>
        <v>12.052999999999999</v>
      </c>
      <c r="AJ261" s="5"/>
      <c r="AK261" s="5"/>
      <c r="AL261" s="5"/>
      <c r="AM261" s="5"/>
      <c r="AN261" s="5"/>
      <c r="AO261" s="45"/>
      <c r="AP261" s="6"/>
      <c r="AQ261" s="50"/>
      <c r="AR261" s="6"/>
      <c r="AS261" s="6"/>
      <c r="AT261" s="6"/>
      <c r="AU261" s="6"/>
      <c r="AV261" s="7"/>
      <c r="AW261" s="7"/>
      <c r="AX261" s="7"/>
      <c r="AY261" s="7"/>
      <c r="AZ261" s="5"/>
      <c r="BA261" s="5"/>
      <c r="BB261" s="6"/>
      <c r="BC261" s="6"/>
      <c r="BD261" s="6"/>
      <c r="BE261" s="6"/>
      <c r="BF261" s="5"/>
      <c r="BG261" s="5"/>
      <c r="BH261" s="6"/>
      <c r="BI261" s="6"/>
      <c r="BJ261" s="6"/>
      <c r="BK261" s="6"/>
      <c r="BL261" s="6"/>
      <c r="BM261" s="6"/>
      <c r="BN261" s="6"/>
      <c r="BO261" s="6"/>
      <c r="BP261" s="6"/>
      <c r="BQ261" s="6"/>
    </row>
    <row r="262" spans="1:69" ht="28.8" x14ac:dyDescent="0.3">
      <c r="A262" s="129"/>
      <c r="B262" s="63">
        <v>259</v>
      </c>
      <c r="C262" s="57" t="s">
        <v>466</v>
      </c>
      <c r="D262" s="5" t="s">
        <v>4</v>
      </c>
      <c r="E262" s="5">
        <v>20</v>
      </c>
      <c r="F262" s="15" t="s">
        <v>465</v>
      </c>
      <c r="G262" s="8" t="s">
        <v>420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17">
        <v>2.95289</v>
      </c>
      <c r="AI262" s="17">
        <f t="shared" si="10"/>
        <v>59.0578</v>
      </c>
      <c r="AJ262" s="5"/>
      <c r="AK262" s="5"/>
      <c r="AL262" s="5"/>
      <c r="AM262" s="5"/>
      <c r="AN262" s="5"/>
      <c r="AO262" s="45"/>
      <c r="AP262" s="6"/>
      <c r="AQ262" s="50"/>
      <c r="AR262" s="6"/>
      <c r="AS262" s="6"/>
      <c r="AT262" s="6"/>
      <c r="AU262" s="6"/>
      <c r="AV262" s="7"/>
      <c r="AW262" s="7"/>
      <c r="AX262" s="7"/>
      <c r="AY262" s="7"/>
      <c r="AZ262" s="5"/>
      <c r="BA262" s="5"/>
      <c r="BB262" s="6"/>
      <c r="BC262" s="6"/>
      <c r="BD262" s="6"/>
      <c r="BE262" s="6"/>
      <c r="BF262" s="5"/>
      <c r="BG262" s="5"/>
      <c r="BH262" s="6"/>
      <c r="BI262" s="6"/>
      <c r="BJ262" s="6"/>
      <c r="BK262" s="6"/>
      <c r="BL262" s="6"/>
      <c r="BM262" s="6"/>
      <c r="BN262" s="6"/>
      <c r="BO262" s="6"/>
      <c r="BP262" s="6"/>
      <c r="BQ262" s="6"/>
    </row>
    <row r="263" spans="1:69" ht="41.4" x14ac:dyDescent="0.3">
      <c r="A263" s="129"/>
      <c r="B263" s="63">
        <v>260</v>
      </c>
      <c r="C263" s="55" t="s">
        <v>279</v>
      </c>
      <c r="D263" s="5" t="s">
        <v>4</v>
      </c>
      <c r="E263" s="5">
        <v>30</v>
      </c>
      <c r="F263" s="15" t="s">
        <v>278</v>
      </c>
      <c r="G263" s="8" t="s">
        <v>420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17">
        <v>1.3652299999999999</v>
      </c>
      <c r="AI263" s="17">
        <f t="shared" si="10"/>
        <v>40.956899999999997</v>
      </c>
      <c r="AJ263" s="5"/>
      <c r="AK263" s="5"/>
      <c r="AL263" s="5"/>
      <c r="AM263" s="5"/>
      <c r="AN263" s="5"/>
      <c r="AO263" s="45"/>
      <c r="AP263" s="6"/>
      <c r="AQ263" s="50"/>
      <c r="AR263" s="6"/>
      <c r="AS263" s="6"/>
      <c r="AT263" s="6"/>
      <c r="AU263" s="6"/>
      <c r="AV263" s="7"/>
      <c r="AW263" s="7"/>
      <c r="AX263" s="7"/>
      <c r="AY263" s="7"/>
      <c r="AZ263" s="5"/>
      <c r="BA263" s="5"/>
      <c r="BB263" s="6"/>
      <c r="BC263" s="6"/>
      <c r="BD263" s="6"/>
      <c r="BE263" s="6"/>
      <c r="BF263" s="5"/>
      <c r="BG263" s="5"/>
      <c r="BH263" s="6"/>
      <c r="BI263" s="6"/>
      <c r="BJ263" s="6"/>
      <c r="BK263" s="6"/>
      <c r="BL263" s="6"/>
      <c r="BM263" s="6"/>
      <c r="BN263" s="6"/>
      <c r="BO263" s="6"/>
      <c r="BP263" s="6"/>
      <c r="BQ263" s="6"/>
    </row>
    <row r="264" spans="1:69" ht="28.8" x14ac:dyDescent="0.3">
      <c r="A264" s="129"/>
      <c r="B264" s="63">
        <v>261</v>
      </c>
      <c r="C264" s="57" t="s">
        <v>472</v>
      </c>
      <c r="D264" s="5" t="s">
        <v>4</v>
      </c>
      <c r="E264" s="5">
        <v>100</v>
      </c>
      <c r="F264" s="15" t="s">
        <v>467</v>
      </c>
      <c r="G264" s="8" t="s">
        <v>420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17">
        <v>0.23633999999999999</v>
      </c>
      <c r="AI264" s="17">
        <f t="shared" si="10"/>
        <v>23.634</v>
      </c>
      <c r="AJ264" s="5"/>
      <c r="AK264" s="5"/>
      <c r="AL264" s="5"/>
      <c r="AM264" s="5"/>
      <c r="AN264" s="5"/>
      <c r="AO264" s="45"/>
      <c r="AP264" s="6"/>
      <c r="AQ264" s="50"/>
      <c r="AR264" s="6"/>
      <c r="AS264" s="6"/>
      <c r="AT264" s="6"/>
      <c r="AU264" s="6"/>
      <c r="AV264" s="7"/>
      <c r="AW264" s="7"/>
      <c r="AX264" s="7"/>
      <c r="AY264" s="7"/>
      <c r="AZ264" s="5"/>
      <c r="BA264" s="5"/>
      <c r="BB264" s="6"/>
      <c r="BC264" s="6"/>
      <c r="BD264" s="6"/>
      <c r="BE264" s="6"/>
      <c r="BF264" s="5"/>
      <c r="BG264" s="5"/>
      <c r="BH264" s="6"/>
      <c r="BI264" s="6"/>
      <c r="BJ264" s="6"/>
      <c r="BK264" s="6"/>
      <c r="BL264" s="6"/>
      <c r="BM264" s="6"/>
      <c r="BN264" s="6"/>
      <c r="BO264" s="6"/>
      <c r="BP264" s="6"/>
      <c r="BQ264" s="6"/>
    </row>
    <row r="265" spans="1:69" ht="28.8" x14ac:dyDescent="0.3">
      <c r="A265" s="129"/>
      <c r="B265" s="63">
        <v>262</v>
      </c>
      <c r="C265" s="57" t="s">
        <v>471</v>
      </c>
      <c r="D265" s="5" t="s">
        <v>4</v>
      </c>
      <c r="E265" s="5">
        <v>100</v>
      </c>
      <c r="F265" s="15" t="s">
        <v>468</v>
      </c>
      <c r="G265" s="8" t="s">
        <v>420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17">
        <v>8.0360000000000001E-2</v>
      </c>
      <c r="AI265" s="17">
        <f t="shared" si="10"/>
        <v>8.0359999999999996</v>
      </c>
      <c r="AJ265" s="5"/>
      <c r="AK265" s="5"/>
      <c r="AL265" s="5"/>
      <c r="AM265" s="5"/>
      <c r="AN265" s="5"/>
      <c r="AO265" s="45"/>
      <c r="AP265" s="6"/>
      <c r="AQ265" s="50"/>
      <c r="AR265" s="6"/>
      <c r="AS265" s="6"/>
      <c r="AT265" s="6"/>
      <c r="AU265" s="6"/>
      <c r="AV265" s="7"/>
      <c r="AW265" s="7"/>
      <c r="AX265" s="7"/>
      <c r="AY265" s="7"/>
      <c r="AZ265" s="5"/>
      <c r="BA265" s="5"/>
      <c r="BB265" s="6"/>
      <c r="BC265" s="6"/>
      <c r="BD265" s="6"/>
      <c r="BE265" s="6"/>
      <c r="BF265" s="5"/>
      <c r="BG265" s="5"/>
      <c r="BH265" s="6"/>
      <c r="BI265" s="6"/>
      <c r="BJ265" s="6"/>
      <c r="BK265" s="6"/>
      <c r="BL265" s="6"/>
      <c r="BM265" s="6"/>
      <c r="BN265" s="6"/>
      <c r="BO265" s="6"/>
      <c r="BP265" s="6"/>
      <c r="BQ265" s="6"/>
    </row>
    <row r="266" spans="1:69" ht="28.8" x14ac:dyDescent="0.3">
      <c r="A266" s="129"/>
      <c r="B266" s="63">
        <v>263</v>
      </c>
      <c r="C266" s="55" t="s">
        <v>470</v>
      </c>
      <c r="D266" s="5" t="s">
        <v>4</v>
      </c>
      <c r="E266" s="5">
        <v>100</v>
      </c>
      <c r="F266" s="13" t="s">
        <v>469</v>
      </c>
      <c r="G266" s="8" t="s">
        <v>420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17">
        <v>5.9089999999999997E-2</v>
      </c>
      <c r="AI266" s="17">
        <f t="shared" si="10"/>
        <v>5.9089999999999998</v>
      </c>
      <c r="AJ266" s="5"/>
      <c r="AK266" s="5"/>
      <c r="AL266" s="5"/>
      <c r="AM266" s="5"/>
      <c r="AN266" s="5"/>
      <c r="AO266" s="45"/>
      <c r="AP266" s="6"/>
      <c r="AQ266" s="50"/>
      <c r="AR266" s="6"/>
      <c r="AS266" s="6"/>
      <c r="AT266" s="6"/>
      <c r="AU266" s="6"/>
      <c r="AV266" s="7"/>
      <c r="AW266" s="7"/>
      <c r="AX266" s="7"/>
      <c r="AY266" s="7"/>
      <c r="AZ266" s="5"/>
      <c r="BA266" s="5"/>
      <c r="BB266" s="6"/>
      <c r="BC266" s="6"/>
      <c r="BD266" s="6"/>
      <c r="BE266" s="6"/>
      <c r="BF266" s="5"/>
      <c r="BG266" s="5"/>
      <c r="BH266" s="6"/>
      <c r="BI266" s="6"/>
      <c r="BJ266" s="6"/>
      <c r="BK266" s="6"/>
      <c r="BL266" s="6"/>
      <c r="BM266" s="6"/>
      <c r="BN266" s="6"/>
      <c r="BO266" s="6"/>
      <c r="BP266" s="6"/>
      <c r="BQ266" s="6"/>
    </row>
    <row r="267" spans="1:69" ht="28.8" x14ac:dyDescent="0.3">
      <c r="A267" s="129"/>
      <c r="B267" s="63">
        <v>264</v>
      </c>
      <c r="C267" s="57" t="s">
        <v>474</v>
      </c>
      <c r="D267" s="5" t="s">
        <v>4</v>
      </c>
      <c r="E267" s="5">
        <v>100</v>
      </c>
      <c r="F267" s="15" t="s">
        <v>473</v>
      </c>
      <c r="G267" s="8" t="s">
        <v>420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17">
        <v>5.9089999999999997E-2</v>
      </c>
      <c r="AI267" s="17">
        <f t="shared" si="10"/>
        <v>5.9089999999999998</v>
      </c>
      <c r="AJ267" s="5"/>
      <c r="AK267" s="5"/>
      <c r="AL267" s="5"/>
      <c r="AM267" s="5"/>
      <c r="AN267" s="5"/>
      <c r="AO267" s="45"/>
      <c r="AP267" s="6"/>
      <c r="AQ267" s="50"/>
      <c r="AR267" s="6"/>
      <c r="AS267" s="6"/>
      <c r="AT267" s="6"/>
      <c r="AU267" s="6"/>
      <c r="AV267" s="7"/>
      <c r="AW267" s="7"/>
      <c r="AX267" s="7"/>
      <c r="AY267" s="7"/>
      <c r="AZ267" s="5"/>
      <c r="BA267" s="5"/>
      <c r="BB267" s="6"/>
      <c r="BC267" s="6"/>
      <c r="BD267" s="6"/>
      <c r="BE267" s="6"/>
      <c r="BF267" s="5"/>
      <c r="BG267" s="5"/>
      <c r="BH267" s="6"/>
      <c r="BI267" s="6"/>
      <c r="BJ267" s="6"/>
      <c r="BK267" s="6"/>
      <c r="BL267" s="6"/>
      <c r="BM267" s="6"/>
      <c r="BN267" s="6"/>
      <c r="BO267" s="6"/>
      <c r="BP267" s="6"/>
      <c r="BQ267" s="6"/>
    </row>
    <row r="268" spans="1:69" ht="28.8" x14ac:dyDescent="0.3">
      <c r="A268" s="129"/>
      <c r="B268" s="63">
        <v>265</v>
      </c>
      <c r="C268" s="57" t="s">
        <v>476</v>
      </c>
      <c r="D268" s="5" t="s">
        <v>4</v>
      </c>
      <c r="E268" s="5">
        <v>10</v>
      </c>
      <c r="F268" s="15" t="s">
        <v>475</v>
      </c>
      <c r="G268" s="8" t="s">
        <v>420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17">
        <v>28.86</v>
      </c>
      <c r="AI268" s="17">
        <f t="shared" si="10"/>
        <v>288.60000000000002</v>
      </c>
      <c r="AJ268" s="5"/>
      <c r="AK268" s="5"/>
      <c r="AL268" s="5"/>
      <c r="AM268" s="5"/>
      <c r="AN268" s="5"/>
      <c r="AO268" s="45"/>
      <c r="AP268" s="6"/>
      <c r="AQ268" s="50"/>
      <c r="AR268" s="6"/>
      <c r="AS268" s="6"/>
      <c r="AT268" s="6"/>
      <c r="AU268" s="6"/>
      <c r="AV268" s="7"/>
      <c r="AW268" s="7"/>
      <c r="AX268" s="7"/>
      <c r="AY268" s="7"/>
      <c r="AZ268" s="5"/>
      <c r="BA268" s="5"/>
      <c r="BB268" s="6"/>
      <c r="BC268" s="6"/>
      <c r="BD268" s="6"/>
      <c r="BE268" s="6"/>
      <c r="BF268" s="5"/>
      <c r="BG268" s="5"/>
      <c r="BH268" s="6"/>
      <c r="BI268" s="6"/>
      <c r="BJ268" s="6"/>
      <c r="BK268" s="6"/>
      <c r="BL268" s="6"/>
      <c r="BM268" s="6"/>
      <c r="BN268" s="6"/>
      <c r="BO268" s="6"/>
      <c r="BP268" s="6"/>
      <c r="BQ268" s="6"/>
    </row>
    <row r="269" spans="1:69" ht="28.8" x14ac:dyDescent="0.3">
      <c r="A269" s="129"/>
      <c r="B269" s="63">
        <v>266</v>
      </c>
      <c r="C269" s="57" t="s">
        <v>480</v>
      </c>
      <c r="D269" s="5" t="s">
        <v>4</v>
      </c>
      <c r="E269" s="5">
        <v>50</v>
      </c>
      <c r="F269" s="15" t="s">
        <v>477</v>
      </c>
      <c r="G269" s="8" t="s">
        <v>420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17">
        <v>0.69186999999999999</v>
      </c>
      <c r="AI269" s="17">
        <f t="shared" si="10"/>
        <v>34.593499999999999</v>
      </c>
      <c r="AJ269" s="5"/>
      <c r="AK269" s="5"/>
      <c r="AL269" s="5"/>
      <c r="AM269" s="5"/>
      <c r="AN269" s="5"/>
      <c r="AO269" s="45"/>
      <c r="AP269" s="6"/>
      <c r="AQ269" s="50"/>
      <c r="AR269" s="6"/>
      <c r="AS269" s="6"/>
      <c r="AT269" s="6"/>
      <c r="AU269" s="6"/>
      <c r="AV269" s="7"/>
      <c r="AW269" s="7"/>
      <c r="AX269" s="7"/>
      <c r="AY269" s="7"/>
      <c r="AZ269" s="5"/>
      <c r="BA269" s="5"/>
      <c r="BB269" s="6"/>
      <c r="BC269" s="6"/>
      <c r="BD269" s="6"/>
      <c r="BE269" s="6"/>
      <c r="BF269" s="5"/>
      <c r="BG269" s="5"/>
      <c r="BH269" s="6"/>
      <c r="BI269" s="6"/>
      <c r="BJ269" s="6"/>
      <c r="BK269" s="6"/>
      <c r="BL269" s="6"/>
      <c r="BM269" s="6"/>
      <c r="BN269" s="6"/>
      <c r="BO269" s="6"/>
      <c r="BP269" s="6"/>
      <c r="BQ269" s="6"/>
    </row>
    <row r="270" spans="1:69" ht="28.8" x14ac:dyDescent="0.3">
      <c r="A270" s="129"/>
      <c r="B270" s="63">
        <v>267</v>
      </c>
      <c r="C270" s="55" t="s">
        <v>281</v>
      </c>
      <c r="D270" s="5" t="s">
        <v>4</v>
      </c>
      <c r="E270" s="5">
        <v>25</v>
      </c>
      <c r="F270" s="15" t="s">
        <v>280</v>
      </c>
      <c r="G270" s="8" t="s">
        <v>420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17">
        <v>0.45495999999999998</v>
      </c>
      <c r="AI270" s="17">
        <f t="shared" si="10"/>
        <v>11.373999999999999</v>
      </c>
      <c r="AJ270" s="5"/>
      <c r="AK270" s="5"/>
      <c r="AL270" s="5"/>
      <c r="AM270" s="5"/>
      <c r="AN270" s="5"/>
      <c r="AO270" s="5"/>
      <c r="AP270" s="6"/>
      <c r="AQ270" s="6"/>
      <c r="AR270" s="6"/>
      <c r="AS270" s="6"/>
      <c r="AT270" s="6"/>
      <c r="AU270" s="6"/>
      <c r="AV270" s="7"/>
      <c r="AW270" s="7"/>
      <c r="AX270" s="7"/>
      <c r="AY270" s="7"/>
      <c r="AZ270" s="5"/>
      <c r="BA270" s="5"/>
      <c r="BB270" s="6"/>
      <c r="BC270" s="6"/>
      <c r="BD270" s="6"/>
      <c r="BE270" s="6"/>
      <c r="BF270" s="5"/>
      <c r="BG270" s="5"/>
      <c r="BH270" s="6"/>
      <c r="BI270" s="6"/>
      <c r="BJ270" s="6"/>
      <c r="BK270" s="6"/>
      <c r="BL270" s="6"/>
      <c r="BM270" s="6"/>
      <c r="BN270" s="6"/>
      <c r="BO270" s="6"/>
      <c r="BP270" s="6"/>
      <c r="BQ270" s="6"/>
    </row>
    <row r="271" spans="1:69" ht="28.8" x14ac:dyDescent="0.3">
      <c r="A271" s="129"/>
      <c r="B271" s="63">
        <v>268</v>
      </c>
      <c r="C271" s="57" t="s">
        <v>479</v>
      </c>
      <c r="D271" s="5" t="s">
        <v>4</v>
      </c>
      <c r="E271" s="5">
        <v>100</v>
      </c>
      <c r="F271" s="15" t="s">
        <v>478</v>
      </c>
      <c r="G271" s="8" t="s">
        <v>420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17">
        <v>0.12053</v>
      </c>
      <c r="AI271" s="17">
        <f t="shared" si="10"/>
        <v>12.052999999999999</v>
      </c>
      <c r="AJ271" s="5"/>
      <c r="AK271" s="5"/>
      <c r="AL271" s="5"/>
      <c r="AM271" s="5"/>
      <c r="AN271" s="5"/>
      <c r="AO271" s="5"/>
      <c r="AP271" s="6"/>
      <c r="AQ271" s="6"/>
      <c r="AR271" s="6"/>
      <c r="AS271" s="6"/>
      <c r="AT271" s="6"/>
      <c r="AU271" s="6"/>
      <c r="AV271" s="7"/>
      <c r="AW271" s="7"/>
      <c r="AX271" s="7"/>
      <c r="AY271" s="7"/>
      <c r="AZ271" s="5"/>
      <c r="BA271" s="5"/>
      <c r="BB271" s="6"/>
      <c r="BC271" s="6"/>
      <c r="BD271" s="6"/>
      <c r="BE271" s="6"/>
      <c r="BF271" s="5"/>
      <c r="BG271" s="5"/>
      <c r="BH271" s="6"/>
      <c r="BI271" s="6"/>
      <c r="BJ271" s="6"/>
      <c r="BK271" s="6"/>
      <c r="BL271" s="6"/>
      <c r="BM271" s="6"/>
      <c r="BN271" s="6"/>
      <c r="BO271" s="6"/>
      <c r="BP271" s="6"/>
      <c r="BQ271" s="6"/>
    </row>
    <row r="272" spans="1:69" ht="28.8" x14ac:dyDescent="0.3">
      <c r="A272" s="129"/>
      <c r="B272" s="63">
        <v>269</v>
      </c>
      <c r="C272" s="55" t="s">
        <v>482</v>
      </c>
      <c r="D272" s="5" t="s">
        <v>4</v>
      </c>
      <c r="E272" s="5">
        <v>100</v>
      </c>
      <c r="F272" s="15" t="s">
        <v>481</v>
      </c>
      <c r="G272" s="8" t="s">
        <v>420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17">
        <v>0.12053</v>
      </c>
      <c r="AI272" s="17">
        <f t="shared" si="10"/>
        <v>12.052999999999999</v>
      </c>
      <c r="AJ272" s="5"/>
      <c r="AK272" s="5"/>
      <c r="AL272" s="5"/>
      <c r="AM272" s="5"/>
      <c r="AN272" s="5"/>
      <c r="AO272" s="5"/>
      <c r="AP272" s="6"/>
      <c r="AQ272" s="6"/>
      <c r="AR272" s="6"/>
      <c r="AS272" s="6"/>
      <c r="AT272" s="6"/>
      <c r="AU272" s="6"/>
      <c r="AV272" s="7"/>
      <c r="AW272" s="7"/>
      <c r="AX272" s="7"/>
      <c r="AY272" s="7"/>
      <c r="AZ272" s="5"/>
      <c r="BA272" s="5"/>
      <c r="BB272" s="6"/>
      <c r="BC272" s="6"/>
      <c r="BD272" s="6"/>
      <c r="BE272" s="6"/>
      <c r="BF272" s="5"/>
      <c r="BG272" s="5"/>
      <c r="BH272" s="6"/>
      <c r="BI272" s="6"/>
      <c r="BJ272" s="6"/>
      <c r="BK272" s="6"/>
      <c r="BL272" s="6"/>
      <c r="BM272" s="6"/>
      <c r="BN272" s="6"/>
      <c r="BO272" s="6"/>
      <c r="BP272" s="6"/>
      <c r="BQ272" s="6"/>
    </row>
    <row r="273" spans="1:69" ht="28.8" x14ac:dyDescent="0.3">
      <c r="A273" s="129"/>
      <c r="B273" s="63">
        <v>270</v>
      </c>
      <c r="C273" s="57" t="s">
        <v>484</v>
      </c>
      <c r="D273" s="5" t="s">
        <v>4</v>
      </c>
      <c r="E273" s="5">
        <v>100</v>
      </c>
      <c r="F273" s="15" t="s">
        <v>483</v>
      </c>
      <c r="G273" s="8" t="s">
        <v>420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17">
        <v>9.2170000000000002E-2</v>
      </c>
      <c r="AI273" s="17">
        <f t="shared" si="10"/>
        <v>9.2170000000000005</v>
      </c>
      <c r="AJ273" s="5"/>
      <c r="AK273" s="5"/>
      <c r="AL273" s="5"/>
      <c r="AM273" s="5"/>
      <c r="AN273" s="5"/>
      <c r="AO273" s="5"/>
      <c r="AP273" s="6"/>
      <c r="AQ273" s="6"/>
      <c r="AR273" s="6"/>
      <c r="AS273" s="6"/>
      <c r="AT273" s="6"/>
      <c r="AU273" s="6"/>
      <c r="AV273" s="7"/>
      <c r="AW273" s="7"/>
      <c r="AX273" s="7"/>
      <c r="AY273" s="7"/>
      <c r="AZ273" s="5"/>
      <c r="BA273" s="5"/>
      <c r="BB273" s="6"/>
      <c r="BC273" s="6"/>
      <c r="BD273" s="6"/>
      <c r="BE273" s="6"/>
      <c r="BF273" s="5"/>
      <c r="BG273" s="5"/>
      <c r="BH273" s="6"/>
      <c r="BI273" s="6"/>
      <c r="BJ273" s="6"/>
      <c r="BK273" s="6"/>
      <c r="BL273" s="6"/>
      <c r="BM273" s="6"/>
      <c r="BN273" s="6"/>
      <c r="BO273" s="6"/>
      <c r="BP273" s="6"/>
      <c r="BQ273" s="6"/>
    </row>
    <row r="274" spans="1:69" ht="28.8" x14ac:dyDescent="0.3">
      <c r="A274" s="129"/>
      <c r="B274" s="63">
        <v>271</v>
      </c>
      <c r="C274" s="55" t="s">
        <v>466</v>
      </c>
      <c r="D274" s="5" t="s">
        <v>4</v>
      </c>
      <c r="E274" s="5">
        <v>20</v>
      </c>
      <c r="F274" s="15" t="s">
        <v>465</v>
      </c>
      <c r="G274" s="8" t="s">
        <v>420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17">
        <v>2.95289</v>
      </c>
      <c r="AI274" s="17">
        <f t="shared" si="10"/>
        <v>59.0578</v>
      </c>
      <c r="AJ274" s="5"/>
      <c r="AK274" s="5"/>
      <c r="AL274" s="5"/>
      <c r="AM274" s="5"/>
      <c r="AN274" s="5"/>
      <c r="AO274" s="5"/>
      <c r="AP274" s="6"/>
      <c r="AQ274" s="6"/>
      <c r="AR274" s="6"/>
      <c r="AS274" s="6"/>
      <c r="AT274" s="6"/>
      <c r="AU274" s="6"/>
      <c r="AV274" s="7"/>
      <c r="AW274" s="7"/>
      <c r="AX274" s="7"/>
      <c r="AY274" s="7"/>
      <c r="AZ274" s="5"/>
      <c r="BA274" s="5"/>
      <c r="BB274" s="6"/>
      <c r="BC274" s="6"/>
      <c r="BD274" s="6"/>
      <c r="BE274" s="6"/>
      <c r="BF274" s="5"/>
      <c r="BG274" s="5"/>
      <c r="BH274" s="6"/>
      <c r="BI274" s="6"/>
      <c r="BJ274" s="6"/>
      <c r="BK274" s="6"/>
      <c r="BL274" s="6"/>
      <c r="BM274" s="6"/>
      <c r="BN274" s="6"/>
      <c r="BO274" s="6"/>
      <c r="BP274" s="6"/>
      <c r="BQ274" s="6"/>
    </row>
    <row r="275" spans="1:69" ht="28.8" x14ac:dyDescent="0.3">
      <c r="A275" s="129"/>
      <c r="B275" s="63">
        <v>272</v>
      </c>
      <c r="C275" s="57" t="s">
        <v>486</v>
      </c>
      <c r="D275" s="5" t="s">
        <v>4</v>
      </c>
      <c r="E275" s="5">
        <v>50</v>
      </c>
      <c r="F275" s="15" t="s">
        <v>485</v>
      </c>
      <c r="G275" s="8" t="s">
        <v>420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17">
        <v>0.40254000000000001</v>
      </c>
      <c r="AI275" s="17">
        <f t="shared" si="10"/>
        <v>20.126999999999999</v>
      </c>
      <c r="AJ275" s="5"/>
      <c r="AK275" s="5"/>
      <c r="AL275" s="5"/>
      <c r="AM275" s="5"/>
      <c r="AN275" s="5"/>
      <c r="AO275" s="5"/>
      <c r="AP275" s="6"/>
      <c r="AQ275" s="6"/>
      <c r="AR275" s="6"/>
      <c r="AS275" s="6"/>
      <c r="AT275" s="6"/>
      <c r="AU275" s="6"/>
      <c r="AV275" s="7"/>
      <c r="AW275" s="7"/>
      <c r="AX275" s="7"/>
      <c r="AY275" s="7"/>
      <c r="AZ275" s="5"/>
      <c r="BA275" s="5"/>
      <c r="BB275" s="6"/>
      <c r="BC275" s="6"/>
      <c r="BD275" s="6"/>
      <c r="BE275" s="6"/>
      <c r="BF275" s="5"/>
      <c r="BG275" s="5"/>
      <c r="BH275" s="6"/>
      <c r="BI275" s="6"/>
      <c r="BJ275" s="6"/>
      <c r="BK275" s="6"/>
      <c r="BL275" s="6"/>
      <c r="BM275" s="6"/>
      <c r="BN275" s="6"/>
      <c r="BO275" s="6"/>
      <c r="BP275" s="6"/>
      <c r="BQ275" s="6"/>
    </row>
    <row r="276" spans="1:69" ht="28.8" x14ac:dyDescent="0.3">
      <c r="A276" s="129"/>
      <c r="B276" s="63">
        <v>273</v>
      </c>
      <c r="C276" s="55" t="s">
        <v>490</v>
      </c>
      <c r="D276" s="5" t="s">
        <v>4</v>
      </c>
      <c r="E276" s="5">
        <v>100</v>
      </c>
      <c r="F276" s="15" t="s">
        <v>487</v>
      </c>
      <c r="G276" s="8" t="s">
        <v>420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17">
        <v>0.12053</v>
      </c>
      <c r="AI276" s="17">
        <f t="shared" si="10"/>
        <v>12.052999999999999</v>
      </c>
      <c r="AJ276" s="5"/>
      <c r="AK276" s="5"/>
      <c r="AL276" s="5"/>
      <c r="AM276" s="5"/>
      <c r="AN276" s="5"/>
      <c r="AO276" s="5"/>
      <c r="AP276" s="6"/>
      <c r="AQ276" s="6"/>
      <c r="AR276" s="6"/>
      <c r="AS276" s="6"/>
      <c r="AT276" s="6"/>
      <c r="AU276" s="6"/>
      <c r="AV276" s="7"/>
      <c r="AW276" s="7"/>
      <c r="AX276" s="7"/>
      <c r="AY276" s="7"/>
      <c r="AZ276" s="5"/>
      <c r="BA276" s="5"/>
      <c r="BB276" s="6"/>
      <c r="BC276" s="6"/>
      <c r="BD276" s="6"/>
      <c r="BE276" s="6"/>
      <c r="BF276" s="5"/>
      <c r="BG276" s="5"/>
      <c r="BH276" s="6"/>
      <c r="BI276" s="6"/>
      <c r="BJ276" s="6"/>
      <c r="BK276" s="6"/>
      <c r="BL276" s="6"/>
      <c r="BM276" s="6"/>
      <c r="BN276" s="6"/>
      <c r="BO276" s="6"/>
      <c r="BP276" s="6"/>
      <c r="BQ276" s="6"/>
    </row>
    <row r="277" spans="1:69" ht="28.8" x14ac:dyDescent="0.3">
      <c r="A277" s="129"/>
      <c r="B277" s="63">
        <v>274</v>
      </c>
      <c r="C277" s="57" t="s">
        <v>489</v>
      </c>
      <c r="D277" s="5" t="s">
        <v>4</v>
      </c>
      <c r="E277" s="5">
        <v>20</v>
      </c>
      <c r="F277" s="15" t="s">
        <v>488</v>
      </c>
      <c r="G277" s="8" t="s">
        <v>420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17">
        <v>1.5045999999999999</v>
      </c>
      <c r="AI277" s="17">
        <f t="shared" si="10"/>
        <v>30.091999999999999</v>
      </c>
      <c r="AJ277" s="5"/>
      <c r="AK277" s="5"/>
      <c r="AL277" s="5"/>
      <c r="AM277" s="5"/>
      <c r="AN277" s="5"/>
      <c r="AO277" s="5"/>
      <c r="AP277" s="6"/>
      <c r="AQ277" s="6"/>
      <c r="AR277" s="6"/>
      <c r="AS277" s="6"/>
      <c r="AT277" s="6"/>
      <c r="AU277" s="6"/>
      <c r="AV277" s="7"/>
      <c r="AW277" s="7"/>
      <c r="AX277" s="7"/>
      <c r="AY277" s="7"/>
      <c r="AZ277" s="5"/>
      <c r="BA277" s="5"/>
      <c r="BB277" s="6"/>
      <c r="BC277" s="6"/>
      <c r="BD277" s="6"/>
      <c r="BE277" s="6"/>
      <c r="BF277" s="5"/>
      <c r="BG277" s="5"/>
      <c r="BH277" s="6"/>
      <c r="BI277" s="6"/>
      <c r="BJ277" s="6"/>
      <c r="BK277" s="6"/>
      <c r="BL277" s="6"/>
      <c r="BM277" s="6"/>
      <c r="BN277" s="6"/>
      <c r="BO277" s="6"/>
      <c r="BP277" s="6"/>
      <c r="BQ277" s="6"/>
    </row>
    <row r="278" spans="1:69" ht="28.8" x14ac:dyDescent="0.3">
      <c r="A278" s="129"/>
      <c r="B278" s="63">
        <v>275</v>
      </c>
      <c r="C278" s="55" t="s">
        <v>492</v>
      </c>
      <c r="D278" s="5" t="s">
        <v>4</v>
      </c>
      <c r="E278" s="5">
        <v>60</v>
      </c>
      <c r="F278" s="15" t="s">
        <v>491</v>
      </c>
      <c r="G278" s="8" t="s">
        <v>420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17">
        <v>0.58299999999999996</v>
      </c>
      <c r="AI278" s="17">
        <f t="shared" si="10"/>
        <v>34.979999999999997</v>
      </c>
      <c r="AJ278" s="5"/>
      <c r="AK278" s="5"/>
      <c r="AL278" s="5"/>
      <c r="AM278" s="5"/>
      <c r="AN278" s="5"/>
      <c r="AO278" s="5"/>
      <c r="AP278" s="6"/>
      <c r="AQ278" s="6"/>
      <c r="AR278" s="6"/>
      <c r="AS278" s="6"/>
      <c r="AT278" s="6"/>
      <c r="AU278" s="6"/>
      <c r="AV278" s="7"/>
      <c r="AW278" s="7"/>
      <c r="AX278" s="7"/>
      <c r="AY278" s="7"/>
      <c r="AZ278" s="5"/>
      <c r="BA278" s="5"/>
      <c r="BB278" s="6"/>
      <c r="BC278" s="6"/>
      <c r="BD278" s="6"/>
      <c r="BE278" s="6"/>
      <c r="BF278" s="5"/>
      <c r="BG278" s="5"/>
      <c r="BH278" s="6"/>
      <c r="BI278" s="6"/>
      <c r="BJ278" s="6"/>
      <c r="BK278" s="6"/>
      <c r="BL278" s="6"/>
      <c r="BM278" s="6"/>
      <c r="BN278" s="6"/>
      <c r="BO278" s="6"/>
      <c r="BP278" s="6"/>
      <c r="BQ278" s="6"/>
    </row>
    <row r="279" spans="1:69" ht="28.8" x14ac:dyDescent="0.3">
      <c r="A279" s="129"/>
      <c r="B279" s="63">
        <v>276</v>
      </c>
      <c r="C279" s="57" t="s">
        <v>494</v>
      </c>
      <c r="D279" s="5" t="s">
        <v>4</v>
      </c>
      <c r="E279" s="5">
        <v>20</v>
      </c>
      <c r="F279" s="15" t="s">
        <v>493</v>
      </c>
      <c r="G279" s="8" t="s">
        <v>420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17">
        <v>1.3206800000000001</v>
      </c>
      <c r="AI279" s="17">
        <f t="shared" si="10"/>
        <v>26.413600000000002</v>
      </c>
      <c r="AJ279" s="5"/>
      <c r="AK279" s="5"/>
      <c r="AL279" s="5"/>
      <c r="AM279" s="5"/>
      <c r="AN279" s="5"/>
      <c r="AO279" s="5"/>
      <c r="AP279" s="6"/>
      <c r="AQ279" s="6"/>
      <c r="AR279" s="6"/>
      <c r="AS279" s="6"/>
      <c r="AT279" s="6"/>
      <c r="AU279" s="6"/>
      <c r="AV279" s="7"/>
      <c r="AW279" s="7"/>
      <c r="AX279" s="7"/>
      <c r="AY279" s="7"/>
      <c r="AZ279" s="5"/>
      <c r="BA279" s="5"/>
      <c r="BB279" s="6"/>
      <c r="BC279" s="6"/>
      <c r="BD279" s="6"/>
      <c r="BE279" s="6"/>
      <c r="BF279" s="5"/>
      <c r="BG279" s="5"/>
      <c r="BH279" s="6"/>
      <c r="BI279" s="6"/>
      <c r="BJ279" s="6"/>
      <c r="BK279" s="6"/>
      <c r="BL279" s="6"/>
      <c r="BM279" s="6"/>
      <c r="BN279" s="6"/>
      <c r="BO279" s="6"/>
      <c r="BP279" s="6"/>
      <c r="BQ279" s="6"/>
    </row>
    <row r="280" spans="1:69" ht="28.8" x14ac:dyDescent="0.3">
      <c r="A280" s="129"/>
      <c r="B280" s="63">
        <v>277</v>
      </c>
      <c r="C280" s="55" t="s">
        <v>339</v>
      </c>
      <c r="D280" s="5" t="s">
        <v>4</v>
      </c>
      <c r="E280" s="5">
        <v>25</v>
      </c>
      <c r="F280" s="15" t="s">
        <v>338</v>
      </c>
      <c r="G280" s="8" t="s">
        <v>420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17">
        <v>0.59558</v>
      </c>
      <c r="AI280" s="17">
        <f t="shared" si="10"/>
        <v>14.8895</v>
      </c>
      <c r="AJ280" s="5"/>
      <c r="AK280" s="5"/>
      <c r="AL280" s="5"/>
      <c r="AM280" s="5"/>
      <c r="AN280" s="5"/>
      <c r="AO280" s="5"/>
      <c r="AP280" s="6"/>
      <c r="AQ280" s="6"/>
      <c r="AR280" s="6"/>
      <c r="AS280" s="6"/>
      <c r="AT280" s="6"/>
      <c r="AU280" s="6"/>
      <c r="AV280" s="7"/>
      <c r="AW280" s="7"/>
      <c r="AX280" s="7"/>
      <c r="AY280" s="7"/>
      <c r="AZ280" s="5"/>
      <c r="BA280" s="5"/>
      <c r="BB280" s="6"/>
      <c r="BC280" s="6"/>
      <c r="BD280" s="6"/>
      <c r="BE280" s="6"/>
      <c r="BF280" s="5"/>
      <c r="BG280" s="5"/>
      <c r="BH280" s="6"/>
      <c r="BI280" s="6"/>
      <c r="BJ280" s="6"/>
      <c r="BK280" s="6"/>
      <c r="BL280" s="6"/>
      <c r="BM280" s="6"/>
      <c r="BN280" s="6"/>
      <c r="BO280" s="6"/>
      <c r="BP280" s="6"/>
      <c r="BQ280" s="6"/>
    </row>
    <row r="281" spans="1:69" ht="28.8" x14ac:dyDescent="0.3">
      <c r="A281" s="129"/>
      <c r="B281" s="63">
        <v>278</v>
      </c>
      <c r="C281" s="57" t="s">
        <v>496</v>
      </c>
      <c r="D281" s="5" t="s">
        <v>4</v>
      </c>
      <c r="E281" s="5">
        <v>10</v>
      </c>
      <c r="F281" s="15" t="s">
        <v>495</v>
      </c>
      <c r="G281" s="8" t="s">
        <v>420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17">
        <v>9.3743700000000008</v>
      </c>
      <c r="AI281" s="17">
        <f t="shared" si="10"/>
        <v>93.743700000000004</v>
      </c>
      <c r="AJ281" s="5"/>
      <c r="AK281" s="5"/>
      <c r="AL281" s="5"/>
      <c r="AM281" s="5"/>
      <c r="AN281" s="5"/>
      <c r="AO281" s="5"/>
      <c r="AP281" s="6"/>
      <c r="AQ281" s="6"/>
      <c r="AR281" s="6"/>
      <c r="AS281" s="6"/>
      <c r="AT281" s="6"/>
      <c r="AU281" s="6"/>
      <c r="AV281" s="7"/>
      <c r="AW281" s="7"/>
      <c r="AX281" s="7"/>
      <c r="AY281" s="7"/>
      <c r="AZ281" s="5"/>
      <c r="BA281" s="5"/>
      <c r="BB281" s="6"/>
      <c r="BC281" s="6"/>
      <c r="BD281" s="6"/>
      <c r="BE281" s="6"/>
      <c r="BF281" s="5"/>
      <c r="BG281" s="5"/>
      <c r="BH281" s="6"/>
      <c r="BI281" s="6"/>
      <c r="BJ281" s="6"/>
      <c r="BK281" s="6"/>
      <c r="BL281" s="6"/>
      <c r="BM281" s="6"/>
      <c r="BN281" s="6"/>
      <c r="BO281" s="6"/>
      <c r="BP281" s="6"/>
      <c r="BQ281" s="6"/>
    </row>
    <row r="282" spans="1:69" ht="28.8" x14ac:dyDescent="0.3">
      <c r="A282" s="129"/>
      <c r="B282" s="63">
        <v>279</v>
      </c>
      <c r="C282" s="55" t="s">
        <v>498</v>
      </c>
      <c r="D282" s="5" t="s">
        <v>4</v>
      </c>
      <c r="E282" s="5">
        <v>20</v>
      </c>
      <c r="F282" s="15" t="s">
        <v>497</v>
      </c>
      <c r="G282" s="8" t="s">
        <v>420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17">
        <v>1.3317600000000001</v>
      </c>
      <c r="AI282" s="17">
        <f t="shared" si="10"/>
        <v>26.635200000000001</v>
      </c>
      <c r="AJ282" s="5"/>
      <c r="AK282" s="5"/>
      <c r="AL282" s="5"/>
      <c r="AM282" s="5"/>
      <c r="AN282" s="5"/>
      <c r="AO282" s="5"/>
      <c r="AP282" s="6"/>
      <c r="AQ282" s="6"/>
      <c r="AR282" s="6"/>
      <c r="AS282" s="6"/>
      <c r="AT282" s="6"/>
      <c r="AU282" s="6"/>
      <c r="AV282" s="7"/>
      <c r="AW282" s="7"/>
      <c r="AX282" s="7"/>
      <c r="AY282" s="7"/>
      <c r="AZ282" s="5"/>
      <c r="BA282" s="5"/>
      <c r="BB282" s="6"/>
      <c r="BC282" s="6"/>
      <c r="BD282" s="6"/>
      <c r="BE282" s="6"/>
      <c r="BF282" s="5"/>
      <c r="BG282" s="5"/>
      <c r="BH282" s="6"/>
      <c r="BI282" s="6"/>
      <c r="BJ282" s="6"/>
      <c r="BK282" s="6"/>
      <c r="BL282" s="6"/>
      <c r="BM282" s="6"/>
      <c r="BN282" s="6"/>
      <c r="BO282" s="6"/>
      <c r="BP282" s="6"/>
      <c r="BQ282" s="6"/>
    </row>
    <row r="283" spans="1:69" ht="43.2" x14ac:dyDescent="0.3">
      <c r="A283" s="129"/>
      <c r="B283" s="63">
        <v>280</v>
      </c>
      <c r="C283" s="57" t="s">
        <v>500</v>
      </c>
      <c r="D283" s="5" t="s">
        <v>4</v>
      </c>
      <c r="E283" s="5">
        <v>20</v>
      </c>
      <c r="F283" s="15" t="s">
        <v>499</v>
      </c>
      <c r="G283" s="8" t="s">
        <v>420</v>
      </c>
      <c r="H283" s="6"/>
      <c r="I283" s="6"/>
      <c r="J283" s="6"/>
      <c r="K283" s="6"/>
      <c r="L283" s="6"/>
      <c r="M283" s="6"/>
      <c r="N283" s="17">
        <v>10.92</v>
      </c>
      <c r="O283" s="17">
        <f>N283*E283</f>
        <v>218.4</v>
      </c>
      <c r="P283" s="6"/>
      <c r="Q283" s="6"/>
      <c r="R283" s="6"/>
      <c r="S283" s="6"/>
      <c r="T283" s="6"/>
      <c r="U283" s="6"/>
      <c r="V283" s="6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6"/>
      <c r="AQ283" s="6"/>
      <c r="AR283" s="6"/>
      <c r="AS283" s="6"/>
      <c r="AT283" s="6"/>
      <c r="AU283" s="6"/>
      <c r="AV283" s="7"/>
      <c r="AW283" s="7"/>
      <c r="AX283" s="7"/>
      <c r="AY283" s="7"/>
      <c r="AZ283" s="5"/>
      <c r="BA283" s="5"/>
      <c r="BB283" s="6"/>
      <c r="BC283" s="6"/>
      <c r="BD283" s="6"/>
      <c r="BE283" s="6"/>
      <c r="BF283" s="5"/>
      <c r="BG283" s="5"/>
      <c r="BH283" s="6"/>
      <c r="BI283" s="6"/>
      <c r="BJ283" s="6"/>
      <c r="BK283" s="6"/>
      <c r="BL283" s="6"/>
      <c r="BM283" s="6"/>
      <c r="BN283" s="6"/>
      <c r="BO283" s="6"/>
      <c r="BP283" s="6"/>
      <c r="BQ283" s="6"/>
    </row>
    <row r="284" spans="1:69" ht="28.8" x14ac:dyDescent="0.3">
      <c r="A284" s="129"/>
      <c r="B284" s="63">
        <v>281</v>
      </c>
      <c r="C284" s="82" t="s">
        <v>655</v>
      </c>
      <c r="D284" s="5" t="s">
        <v>4</v>
      </c>
      <c r="E284" s="5">
        <v>10</v>
      </c>
      <c r="F284" s="77" t="s">
        <v>654</v>
      </c>
      <c r="G284" s="8" t="s">
        <v>420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17">
        <v>5.47</v>
      </c>
      <c r="AI284" s="17">
        <f>AH284*E284</f>
        <v>54.699999999999996</v>
      </c>
      <c r="AJ284" s="5"/>
      <c r="AK284" s="5"/>
      <c r="AL284" s="5"/>
      <c r="AM284" s="5"/>
      <c r="AN284" s="5"/>
      <c r="AO284" s="5"/>
      <c r="AP284" s="6"/>
      <c r="AQ284" s="6"/>
      <c r="AR284" s="6"/>
      <c r="AS284" s="6"/>
      <c r="AT284" s="6"/>
      <c r="AU284" s="6"/>
      <c r="AV284" s="7"/>
      <c r="AW284" s="7"/>
      <c r="AX284" s="7"/>
      <c r="AY284" s="7"/>
      <c r="AZ284" s="5"/>
      <c r="BA284" s="5"/>
      <c r="BB284" s="6"/>
      <c r="BC284" s="6"/>
      <c r="BD284" s="6"/>
      <c r="BE284" s="6"/>
      <c r="BF284" s="5"/>
      <c r="BG284" s="5"/>
      <c r="BH284" s="6"/>
      <c r="BI284" s="6"/>
      <c r="BJ284" s="6"/>
      <c r="BK284" s="6"/>
      <c r="BL284" s="6"/>
      <c r="BM284" s="6"/>
      <c r="BN284" s="6"/>
      <c r="BO284" s="6"/>
      <c r="BP284" s="6"/>
      <c r="BQ284" s="6"/>
    </row>
    <row r="285" spans="1:69" ht="28.8" x14ac:dyDescent="0.3">
      <c r="A285" s="129"/>
      <c r="B285" s="63">
        <v>282</v>
      </c>
      <c r="C285" s="55" t="s">
        <v>502</v>
      </c>
      <c r="D285" s="5" t="s">
        <v>4</v>
      </c>
      <c r="E285" s="5">
        <v>10</v>
      </c>
      <c r="F285" s="15" t="s">
        <v>501</v>
      </c>
      <c r="G285" s="8" t="s">
        <v>420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17">
        <v>7.44</v>
      </c>
      <c r="AI285" s="17">
        <f>AH285*E285</f>
        <v>74.400000000000006</v>
      </c>
      <c r="AJ285" s="5"/>
      <c r="AK285" s="5"/>
      <c r="AL285" s="5"/>
      <c r="AM285" s="5"/>
      <c r="AN285" s="5"/>
      <c r="AO285" s="5"/>
      <c r="AP285" s="6"/>
      <c r="AQ285" s="6"/>
      <c r="AR285" s="6"/>
      <c r="AS285" s="6"/>
      <c r="AT285" s="6"/>
      <c r="AU285" s="6"/>
      <c r="AV285" s="7"/>
      <c r="AW285" s="7"/>
      <c r="AX285" s="7"/>
      <c r="AY285" s="7"/>
      <c r="AZ285" s="5"/>
      <c r="BA285" s="5"/>
      <c r="BB285" s="6"/>
      <c r="BC285" s="6"/>
      <c r="BD285" s="6"/>
      <c r="BE285" s="6"/>
      <c r="BF285" s="5"/>
      <c r="BG285" s="5"/>
      <c r="BH285" s="6"/>
      <c r="BI285" s="6"/>
      <c r="BJ285" s="6"/>
      <c r="BK285" s="6"/>
      <c r="BL285" s="6"/>
      <c r="BM285" s="6"/>
      <c r="BN285" s="6"/>
      <c r="BO285" s="6"/>
      <c r="BP285" s="6"/>
      <c r="BQ285" s="6"/>
    </row>
    <row r="286" spans="1:69" ht="43.2" x14ac:dyDescent="0.3">
      <c r="A286" s="129"/>
      <c r="B286" s="63">
        <v>283</v>
      </c>
      <c r="C286" s="57" t="s">
        <v>504</v>
      </c>
      <c r="D286" s="5" t="s">
        <v>4</v>
      </c>
      <c r="E286" s="5">
        <v>25</v>
      </c>
      <c r="F286" s="15" t="s">
        <v>503</v>
      </c>
      <c r="G286" s="8" t="s">
        <v>420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6"/>
      <c r="AQ286" s="6"/>
      <c r="AR286" s="6"/>
      <c r="AS286" s="6"/>
      <c r="AT286" s="6"/>
      <c r="AU286" s="6"/>
      <c r="AV286" s="7"/>
      <c r="AW286" s="7"/>
      <c r="AX286" s="7"/>
      <c r="AY286" s="7"/>
      <c r="AZ286" s="17">
        <v>8</v>
      </c>
      <c r="BA286" s="17">
        <f>AZ286*E286</f>
        <v>200</v>
      </c>
      <c r="BB286" s="6"/>
      <c r="BC286" s="6"/>
      <c r="BD286" s="6"/>
      <c r="BE286" s="6"/>
      <c r="BF286" s="5"/>
      <c r="BG286" s="5"/>
      <c r="BH286" s="6"/>
      <c r="BI286" s="6"/>
      <c r="BJ286" s="6"/>
      <c r="BK286" s="6"/>
      <c r="BL286" s="6"/>
      <c r="BM286" s="6"/>
      <c r="BN286" s="6"/>
      <c r="BO286" s="6"/>
      <c r="BP286" s="6"/>
      <c r="BQ286" s="6"/>
    </row>
    <row r="287" spans="1:69" ht="28.8" x14ac:dyDescent="0.3">
      <c r="A287" s="129"/>
      <c r="B287" s="63">
        <v>284</v>
      </c>
      <c r="C287" s="55" t="s">
        <v>506</v>
      </c>
      <c r="D287" s="5" t="s">
        <v>4</v>
      </c>
      <c r="E287" s="5">
        <v>20</v>
      </c>
      <c r="F287" s="15" t="s">
        <v>505</v>
      </c>
      <c r="G287" s="8" t="s">
        <v>420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17">
        <v>5.3463200000000004</v>
      </c>
      <c r="AI287" s="17">
        <f t="shared" ref="AI287:AI292" si="11">AH287*E287</f>
        <v>106.9264</v>
      </c>
      <c r="AJ287" s="5"/>
      <c r="AK287" s="5"/>
      <c r="AL287" s="5"/>
      <c r="AM287" s="5"/>
      <c r="AN287" s="5"/>
      <c r="AO287" s="5"/>
      <c r="AP287" s="6"/>
      <c r="AQ287" s="6"/>
      <c r="AR287" s="6"/>
      <c r="AS287" s="6"/>
      <c r="AT287" s="6"/>
      <c r="AU287" s="6"/>
      <c r="AV287" s="7"/>
      <c r="AW287" s="7"/>
      <c r="AX287" s="7"/>
      <c r="AY287" s="7"/>
      <c r="AZ287" s="5"/>
      <c r="BA287" s="5"/>
      <c r="BB287" s="6"/>
      <c r="BC287" s="6"/>
      <c r="BD287" s="6"/>
      <c r="BE287" s="6"/>
      <c r="BF287" s="5"/>
      <c r="BG287" s="5"/>
      <c r="BH287" s="6"/>
      <c r="BI287" s="6"/>
      <c r="BJ287" s="6"/>
      <c r="BK287" s="6"/>
      <c r="BL287" s="6"/>
      <c r="BM287" s="6"/>
      <c r="BN287" s="6"/>
      <c r="BO287" s="6"/>
      <c r="BP287" s="6"/>
      <c r="BQ287" s="6"/>
    </row>
    <row r="288" spans="1:69" ht="28.8" x14ac:dyDescent="0.3">
      <c r="A288" s="129"/>
      <c r="B288" s="63">
        <v>285</v>
      </c>
      <c r="C288" s="57" t="s">
        <v>454</v>
      </c>
      <c r="D288" s="5" t="s">
        <v>4</v>
      </c>
      <c r="E288" s="5">
        <v>20</v>
      </c>
      <c r="F288" s="15" t="s">
        <v>453</v>
      </c>
      <c r="G288" s="8" t="s">
        <v>420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17">
        <v>2.81386</v>
      </c>
      <c r="AI288" s="17">
        <f t="shared" si="11"/>
        <v>56.277200000000001</v>
      </c>
      <c r="AJ288" s="5"/>
      <c r="AK288" s="5"/>
      <c r="AL288" s="5"/>
      <c r="AM288" s="5"/>
      <c r="AN288" s="5"/>
      <c r="AO288" s="5"/>
      <c r="AP288" s="6"/>
      <c r="AQ288" s="6"/>
      <c r="AR288" s="6"/>
      <c r="AS288" s="6"/>
      <c r="AT288" s="6"/>
      <c r="AU288" s="6"/>
      <c r="AV288" s="7"/>
      <c r="AW288" s="7"/>
      <c r="AX288" s="7"/>
      <c r="AY288" s="7"/>
      <c r="AZ288" s="5"/>
      <c r="BA288" s="5"/>
      <c r="BB288" s="6"/>
      <c r="BC288" s="6"/>
      <c r="BD288" s="6"/>
      <c r="BE288" s="6"/>
      <c r="BF288" s="5"/>
      <c r="BG288" s="5"/>
      <c r="BH288" s="6"/>
      <c r="BI288" s="6"/>
      <c r="BJ288" s="6"/>
      <c r="BK288" s="6"/>
      <c r="BL288" s="6"/>
      <c r="BM288" s="6"/>
      <c r="BN288" s="6"/>
      <c r="BO288" s="6"/>
      <c r="BP288" s="6"/>
      <c r="BQ288" s="6"/>
    </row>
    <row r="289" spans="1:69" ht="28.8" x14ac:dyDescent="0.3">
      <c r="A289" s="129"/>
      <c r="B289" s="63">
        <v>286</v>
      </c>
      <c r="C289" s="55" t="s">
        <v>508</v>
      </c>
      <c r="D289" s="5" t="s">
        <v>4</v>
      </c>
      <c r="E289" s="5">
        <v>20</v>
      </c>
      <c r="F289" s="15" t="s">
        <v>507</v>
      </c>
      <c r="G289" s="8" t="s">
        <v>420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17">
        <v>24.4</v>
      </c>
      <c r="AI289" s="17">
        <f t="shared" si="11"/>
        <v>488</v>
      </c>
      <c r="AJ289" s="5"/>
      <c r="AK289" s="5"/>
      <c r="AL289" s="5"/>
      <c r="AM289" s="5"/>
      <c r="AN289" s="5"/>
      <c r="AO289" s="5"/>
      <c r="AP289" s="6"/>
      <c r="AQ289" s="6"/>
      <c r="AR289" s="6"/>
      <c r="AS289" s="6"/>
      <c r="AT289" s="6"/>
      <c r="AU289" s="6"/>
      <c r="AV289" s="7"/>
      <c r="AW289" s="7"/>
      <c r="AX289" s="7"/>
      <c r="AY289" s="7"/>
      <c r="AZ289" s="5"/>
      <c r="BA289" s="5"/>
      <c r="BB289" s="6"/>
      <c r="BC289" s="6"/>
      <c r="BD289" s="6"/>
      <c r="BE289" s="6"/>
      <c r="BF289" s="5"/>
      <c r="BG289" s="5"/>
      <c r="BH289" s="6"/>
      <c r="BI289" s="6"/>
      <c r="BJ289" s="6"/>
      <c r="BK289" s="6"/>
      <c r="BL289" s="6"/>
      <c r="BM289" s="6"/>
      <c r="BN289" s="6"/>
      <c r="BO289" s="6"/>
      <c r="BP289" s="6"/>
      <c r="BQ289" s="6"/>
    </row>
    <row r="290" spans="1:69" ht="28.8" x14ac:dyDescent="0.3">
      <c r="A290" s="129"/>
      <c r="B290" s="63">
        <v>287</v>
      </c>
      <c r="C290" s="57" t="s">
        <v>511</v>
      </c>
      <c r="D290" s="5" t="s">
        <v>4</v>
      </c>
      <c r="E290" s="5">
        <v>20</v>
      </c>
      <c r="F290" s="15" t="s">
        <v>509</v>
      </c>
      <c r="G290" s="8" t="s">
        <v>420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17">
        <v>5.9602599999999999</v>
      </c>
      <c r="AI290" s="17">
        <f t="shared" si="11"/>
        <v>119.20519999999999</v>
      </c>
      <c r="AJ290" s="5"/>
      <c r="AK290" s="5"/>
      <c r="AL290" s="5"/>
      <c r="AM290" s="5"/>
      <c r="AN290" s="5"/>
      <c r="AO290" s="5"/>
      <c r="AP290" s="6"/>
      <c r="AQ290" s="6"/>
      <c r="AR290" s="6"/>
      <c r="AS290" s="6"/>
      <c r="AT290" s="6"/>
      <c r="AU290" s="6"/>
      <c r="AV290" s="7"/>
      <c r="AW290" s="7"/>
      <c r="AX290" s="7"/>
      <c r="AY290" s="7"/>
      <c r="AZ290" s="5"/>
      <c r="BA290" s="5"/>
      <c r="BB290" s="6"/>
      <c r="BC290" s="6"/>
      <c r="BD290" s="6"/>
      <c r="BE290" s="6"/>
      <c r="BF290" s="5"/>
      <c r="BG290" s="5"/>
      <c r="BH290" s="6"/>
      <c r="BI290" s="6"/>
      <c r="BJ290" s="6"/>
      <c r="BK290" s="6"/>
      <c r="BL290" s="6"/>
      <c r="BM290" s="6"/>
      <c r="BN290" s="6"/>
      <c r="BO290" s="6"/>
      <c r="BP290" s="6"/>
      <c r="BQ290" s="6"/>
    </row>
    <row r="291" spans="1:69" ht="28.8" x14ac:dyDescent="0.3">
      <c r="A291" s="129"/>
      <c r="B291" s="63">
        <v>288</v>
      </c>
      <c r="C291" s="57" t="s">
        <v>512</v>
      </c>
      <c r="D291" s="5" t="s">
        <v>4</v>
      </c>
      <c r="E291" s="5">
        <v>20</v>
      </c>
      <c r="F291" s="15" t="s">
        <v>510</v>
      </c>
      <c r="G291" s="8" t="s">
        <v>420</v>
      </c>
      <c r="H291" s="6" t="s">
        <v>995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17">
        <v>1.4043699999999999</v>
      </c>
      <c r="AI291" s="17">
        <f t="shared" si="11"/>
        <v>28.087399999999999</v>
      </c>
      <c r="AJ291" s="5"/>
      <c r="AK291" s="5"/>
      <c r="AL291" s="5"/>
      <c r="AM291" s="5"/>
      <c r="AN291" s="5"/>
      <c r="AO291" s="5"/>
      <c r="AP291" s="6"/>
      <c r="AQ291" s="6"/>
      <c r="AR291" s="6"/>
      <c r="AS291" s="6"/>
      <c r="AT291" s="6"/>
      <c r="AU291" s="6"/>
      <c r="AV291" s="7"/>
      <c r="AW291" s="7"/>
      <c r="AX291" s="7"/>
      <c r="AY291" s="7"/>
      <c r="AZ291" s="5"/>
      <c r="BA291" s="5"/>
      <c r="BB291" s="6"/>
      <c r="BC291" s="6"/>
      <c r="BD291" s="6"/>
      <c r="BE291" s="6"/>
      <c r="BF291" s="5"/>
      <c r="BG291" s="5"/>
      <c r="BH291" s="6"/>
      <c r="BI291" s="6"/>
      <c r="BJ291" s="6"/>
      <c r="BK291" s="6"/>
      <c r="BL291" s="6"/>
      <c r="BM291" s="6"/>
      <c r="BN291" s="6"/>
      <c r="BO291" s="6"/>
      <c r="BP291" s="6"/>
      <c r="BQ291" s="6"/>
    </row>
    <row r="292" spans="1:69" ht="28.8" x14ac:dyDescent="0.3">
      <c r="A292" s="129"/>
      <c r="B292" s="63">
        <v>289</v>
      </c>
      <c r="C292" s="55" t="s">
        <v>514</v>
      </c>
      <c r="D292" s="5" t="s">
        <v>4</v>
      </c>
      <c r="E292" s="5">
        <v>8</v>
      </c>
      <c r="F292" s="15" t="s">
        <v>513</v>
      </c>
      <c r="G292" s="8" t="s">
        <v>420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17">
        <v>81.41</v>
      </c>
      <c r="AI292" s="17">
        <f t="shared" si="11"/>
        <v>651.28</v>
      </c>
      <c r="AJ292" s="5"/>
      <c r="AK292" s="5"/>
      <c r="AL292" s="5"/>
      <c r="AM292" s="5"/>
      <c r="AN292" s="5"/>
      <c r="AO292" s="5"/>
      <c r="AP292" s="6"/>
      <c r="AQ292" s="6"/>
      <c r="AR292" s="6"/>
      <c r="AS292" s="6"/>
      <c r="AT292" s="6"/>
      <c r="AU292" s="6"/>
      <c r="AV292" s="7"/>
      <c r="AW292" s="7"/>
      <c r="AX292" s="7"/>
      <c r="AY292" s="7"/>
      <c r="AZ292" s="5"/>
      <c r="BA292" s="5"/>
      <c r="BB292" s="6"/>
      <c r="BC292" s="6"/>
      <c r="BD292" s="6"/>
      <c r="BE292" s="6"/>
      <c r="BF292" s="5"/>
      <c r="BG292" s="5"/>
      <c r="BH292" s="6"/>
      <c r="BI292" s="6"/>
      <c r="BJ292" s="6"/>
      <c r="BK292" s="6"/>
      <c r="BL292" s="6"/>
      <c r="BM292" s="6"/>
      <c r="BN292" s="6"/>
      <c r="BO292" s="6"/>
      <c r="BP292" s="6"/>
      <c r="BQ292" s="6"/>
    </row>
    <row r="293" spans="1:69" ht="57.6" x14ac:dyDescent="0.3">
      <c r="A293" s="129"/>
      <c r="B293" s="64">
        <v>290</v>
      </c>
      <c r="C293" s="57" t="s">
        <v>516</v>
      </c>
      <c r="D293" s="5" t="s">
        <v>4</v>
      </c>
      <c r="E293" s="5">
        <v>10</v>
      </c>
      <c r="F293" s="15" t="s">
        <v>515</v>
      </c>
      <c r="G293" s="8" t="s">
        <v>420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6"/>
      <c r="AQ293" s="6"/>
      <c r="AR293" s="6"/>
      <c r="AS293" s="6"/>
      <c r="AT293" s="17">
        <v>9.65</v>
      </c>
      <c r="AU293" s="17">
        <f>AT293*E293</f>
        <v>96.5</v>
      </c>
      <c r="AV293" s="7"/>
      <c r="AW293" s="7"/>
      <c r="AX293" s="7"/>
      <c r="AY293" s="7"/>
      <c r="AZ293" s="5"/>
      <c r="BA293" s="5"/>
      <c r="BB293" s="6"/>
      <c r="BC293" s="6"/>
      <c r="BD293" s="6"/>
      <c r="BE293" s="6"/>
      <c r="BF293" s="5"/>
      <c r="BG293" s="5"/>
      <c r="BH293" s="6"/>
      <c r="BI293" s="6"/>
      <c r="BJ293" s="6"/>
      <c r="BK293" s="6"/>
      <c r="BL293" s="6"/>
      <c r="BM293" s="6"/>
      <c r="BN293" s="6"/>
      <c r="BO293" s="6"/>
      <c r="BP293" s="6"/>
      <c r="BQ293" s="6"/>
    </row>
    <row r="294" spans="1:69" ht="28.8" x14ac:dyDescent="0.3">
      <c r="A294" s="129"/>
      <c r="B294" s="63">
        <v>291</v>
      </c>
      <c r="C294" s="55" t="s">
        <v>518</v>
      </c>
      <c r="D294" s="5" t="s">
        <v>4</v>
      </c>
      <c r="E294" s="5">
        <v>8</v>
      </c>
      <c r="F294" s="15" t="s">
        <v>517</v>
      </c>
      <c r="G294" s="8" t="s">
        <v>420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17">
        <v>22.69</v>
      </c>
      <c r="AI294" s="17">
        <f t="shared" ref="AI294:AI299" si="12">AH294*E294</f>
        <v>181.52</v>
      </c>
      <c r="AJ294" s="5"/>
      <c r="AK294" s="5"/>
      <c r="AL294" s="5"/>
      <c r="AM294" s="5"/>
      <c r="AN294" s="5"/>
      <c r="AO294" s="5"/>
      <c r="AP294" s="6"/>
      <c r="AQ294" s="6"/>
      <c r="AR294" s="6"/>
      <c r="AS294" s="6"/>
      <c r="AT294" s="6"/>
      <c r="AU294" s="6"/>
      <c r="AV294" s="7"/>
      <c r="AW294" s="7"/>
      <c r="AX294" s="7"/>
      <c r="AY294" s="7"/>
      <c r="AZ294" s="5"/>
      <c r="BA294" s="5"/>
      <c r="BB294" s="6"/>
      <c r="BC294" s="6"/>
      <c r="BD294" s="6"/>
      <c r="BE294" s="6"/>
      <c r="BF294" s="5"/>
      <c r="BG294" s="5"/>
      <c r="BH294" s="6"/>
      <c r="BI294" s="6"/>
      <c r="BJ294" s="6"/>
      <c r="BK294" s="6"/>
      <c r="BL294" s="6"/>
      <c r="BM294" s="6"/>
      <c r="BN294" s="6"/>
      <c r="BO294" s="6"/>
      <c r="BP294" s="6"/>
      <c r="BQ294" s="6"/>
    </row>
    <row r="295" spans="1:69" ht="28.8" x14ac:dyDescent="0.3">
      <c r="A295" s="129"/>
      <c r="B295" s="63">
        <v>292</v>
      </c>
      <c r="C295" s="57" t="s">
        <v>520</v>
      </c>
      <c r="D295" s="5" t="s">
        <v>4</v>
      </c>
      <c r="E295" s="5">
        <v>14</v>
      </c>
      <c r="F295" s="15" t="s">
        <v>519</v>
      </c>
      <c r="G295" s="8" t="s">
        <v>420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17">
        <v>205.55</v>
      </c>
      <c r="AI295" s="17">
        <f t="shared" si="12"/>
        <v>2877.7000000000003</v>
      </c>
      <c r="AJ295" s="5"/>
      <c r="AK295" s="5"/>
      <c r="AL295" s="5"/>
      <c r="AM295" s="5"/>
      <c r="AN295" s="5"/>
      <c r="AO295" s="5"/>
      <c r="AP295" s="6"/>
      <c r="AQ295" s="6"/>
      <c r="AR295" s="6"/>
      <c r="AS295" s="6"/>
      <c r="AT295" s="6"/>
      <c r="AU295" s="6"/>
      <c r="AV295" s="7"/>
      <c r="AW295" s="7"/>
      <c r="AX295" s="7"/>
      <c r="AY295" s="7"/>
      <c r="AZ295" s="5"/>
      <c r="BA295" s="5"/>
      <c r="BB295" s="6"/>
      <c r="BC295" s="6"/>
      <c r="BD295" s="6"/>
      <c r="BE295" s="6"/>
      <c r="BF295" s="5"/>
      <c r="BG295" s="5"/>
      <c r="BH295" s="6"/>
      <c r="BI295" s="6"/>
      <c r="BJ295" s="6"/>
      <c r="BK295" s="6"/>
      <c r="BL295" s="6"/>
      <c r="BM295" s="6"/>
      <c r="BN295" s="6"/>
      <c r="BO295" s="6"/>
      <c r="BP295" s="6"/>
      <c r="BQ295" s="6"/>
    </row>
    <row r="296" spans="1:69" ht="28.8" x14ac:dyDescent="0.3">
      <c r="A296" s="129"/>
      <c r="B296" s="63">
        <v>293</v>
      </c>
      <c r="C296" s="55" t="s">
        <v>522</v>
      </c>
      <c r="D296" s="5" t="s">
        <v>4</v>
      </c>
      <c r="E296" s="5">
        <v>100</v>
      </c>
      <c r="F296" s="15" t="s">
        <v>521</v>
      </c>
      <c r="G296" s="8" t="s">
        <v>420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17">
        <v>7.6050000000000006E-2</v>
      </c>
      <c r="AI296" s="17">
        <f t="shared" si="12"/>
        <v>7.6050000000000004</v>
      </c>
      <c r="AJ296" s="5"/>
      <c r="AK296" s="5"/>
      <c r="AL296" s="5"/>
      <c r="AM296" s="5"/>
      <c r="AN296" s="5"/>
      <c r="AO296" s="5"/>
      <c r="AP296" s="6"/>
      <c r="AQ296" s="6"/>
      <c r="AR296" s="6"/>
      <c r="AS296" s="6"/>
      <c r="AT296" s="6"/>
      <c r="AU296" s="6"/>
      <c r="AV296" s="7"/>
      <c r="AW296" s="7"/>
      <c r="AX296" s="7"/>
      <c r="AY296" s="7"/>
      <c r="AZ296" s="5"/>
      <c r="BA296" s="5"/>
      <c r="BB296" s="6"/>
      <c r="BC296" s="6"/>
      <c r="BD296" s="6"/>
      <c r="BE296" s="6"/>
      <c r="BF296" s="5"/>
      <c r="BG296" s="5"/>
      <c r="BH296" s="6"/>
      <c r="BI296" s="6"/>
      <c r="BJ296" s="6"/>
      <c r="BK296" s="6"/>
      <c r="BL296" s="6"/>
      <c r="BM296" s="6"/>
      <c r="BN296" s="6"/>
      <c r="BO296" s="6"/>
      <c r="BP296" s="6"/>
      <c r="BQ296" s="6"/>
    </row>
    <row r="297" spans="1:69" ht="28.8" x14ac:dyDescent="0.3">
      <c r="A297" s="129"/>
      <c r="B297" s="63">
        <v>294</v>
      </c>
      <c r="C297" s="57" t="s">
        <v>300</v>
      </c>
      <c r="D297" s="5" t="s">
        <v>4</v>
      </c>
      <c r="E297" s="5">
        <v>100</v>
      </c>
      <c r="F297" s="15" t="s">
        <v>299</v>
      </c>
      <c r="G297" s="8" t="s">
        <v>420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17">
        <v>5.9089999999999997E-2</v>
      </c>
      <c r="AI297" s="17">
        <f t="shared" si="12"/>
        <v>5.9089999999999998</v>
      </c>
      <c r="AJ297" s="5"/>
      <c r="AK297" s="5"/>
      <c r="AL297" s="5"/>
      <c r="AM297" s="5"/>
      <c r="AN297" s="5"/>
      <c r="AO297" s="5"/>
      <c r="AP297" s="6"/>
      <c r="AQ297" s="6"/>
      <c r="AR297" s="6"/>
      <c r="AS297" s="6"/>
      <c r="AT297" s="6"/>
      <c r="AU297" s="6"/>
      <c r="AV297" s="7"/>
      <c r="AW297" s="7"/>
      <c r="AX297" s="7"/>
      <c r="AY297" s="7"/>
      <c r="AZ297" s="5"/>
      <c r="BA297" s="5"/>
      <c r="BB297" s="6"/>
      <c r="BC297" s="6"/>
      <c r="BD297" s="6"/>
      <c r="BE297" s="6"/>
      <c r="BF297" s="5"/>
      <c r="BG297" s="5"/>
      <c r="BH297" s="6"/>
      <c r="BI297" s="6"/>
      <c r="BJ297" s="6"/>
      <c r="BK297" s="6"/>
      <c r="BL297" s="6"/>
      <c r="BM297" s="6"/>
      <c r="BN297" s="6"/>
      <c r="BO297" s="6"/>
      <c r="BP297" s="6"/>
      <c r="BQ297" s="6"/>
    </row>
    <row r="298" spans="1:69" ht="28.8" x14ac:dyDescent="0.3">
      <c r="A298" s="129"/>
      <c r="B298" s="63">
        <v>295</v>
      </c>
      <c r="C298" s="55" t="s">
        <v>524</v>
      </c>
      <c r="D298" s="5" t="s">
        <v>4</v>
      </c>
      <c r="E298" s="5">
        <v>50</v>
      </c>
      <c r="F298" s="15" t="s">
        <v>523</v>
      </c>
      <c r="G298" s="8" t="s">
        <v>420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17">
        <v>0.81767000000000001</v>
      </c>
      <c r="AI298" s="17">
        <f t="shared" si="12"/>
        <v>40.883499999999998</v>
      </c>
      <c r="AJ298" s="5"/>
      <c r="AK298" s="5"/>
      <c r="AL298" s="5"/>
      <c r="AM298" s="5"/>
      <c r="AN298" s="5"/>
      <c r="AO298" s="5"/>
      <c r="AP298" s="6"/>
      <c r="AQ298" s="6"/>
      <c r="AR298" s="6"/>
      <c r="AS298" s="6"/>
      <c r="AT298" s="6"/>
      <c r="AU298" s="6"/>
      <c r="AV298" s="7"/>
      <c r="AW298" s="7"/>
      <c r="AX298" s="7"/>
      <c r="AY298" s="7"/>
      <c r="AZ298" s="5"/>
      <c r="BA298" s="5"/>
      <c r="BB298" s="6"/>
      <c r="BC298" s="6"/>
      <c r="BD298" s="6"/>
      <c r="BE298" s="6"/>
      <c r="BF298" s="5"/>
      <c r="BG298" s="5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 spans="1:69" ht="28.8" x14ac:dyDescent="0.3">
      <c r="A299" s="129"/>
      <c r="B299" s="63">
        <v>296</v>
      </c>
      <c r="C299" s="57" t="s">
        <v>526</v>
      </c>
      <c r="D299" s="5" t="s">
        <v>4</v>
      </c>
      <c r="E299" s="5">
        <v>100</v>
      </c>
      <c r="F299" s="15" t="s">
        <v>525</v>
      </c>
      <c r="G299" s="8" t="s">
        <v>420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17">
        <v>6.7360000000000003E-2</v>
      </c>
      <c r="AI299" s="17">
        <f t="shared" si="12"/>
        <v>6.7360000000000007</v>
      </c>
      <c r="AJ299" s="5"/>
      <c r="AK299" s="5"/>
      <c r="AL299" s="5"/>
      <c r="AM299" s="5"/>
      <c r="AN299" s="5"/>
      <c r="AO299" s="5"/>
      <c r="AP299" s="6"/>
      <c r="AQ299" s="6"/>
      <c r="AR299" s="6"/>
      <c r="AS299" s="6"/>
      <c r="AT299" s="6"/>
      <c r="AU299" s="6"/>
      <c r="AV299" s="7"/>
      <c r="AW299" s="7"/>
      <c r="AX299" s="7"/>
      <c r="AY299" s="7"/>
      <c r="AZ299" s="5"/>
      <c r="BA299" s="5"/>
      <c r="BB299" s="6"/>
      <c r="BC299" s="6"/>
      <c r="BD299" s="6"/>
      <c r="BE299" s="6"/>
      <c r="BF299" s="5"/>
      <c r="BG299" s="5"/>
      <c r="BH299" s="6"/>
      <c r="BI299" s="6"/>
      <c r="BJ299" s="6"/>
      <c r="BK299" s="6"/>
      <c r="BL299" s="6"/>
      <c r="BM299" s="6"/>
      <c r="BN299" s="6"/>
      <c r="BO299" s="6"/>
      <c r="BP299" s="6"/>
      <c r="BQ299" s="6"/>
    </row>
    <row r="300" spans="1:69" ht="28.8" x14ac:dyDescent="0.3">
      <c r="A300" s="129"/>
      <c r="B300" s="63">
        <v>297</v>
      </c>
      <c r="C300" s="55" t="s">
        <v>528</v>
      </c>
      <c r="D300" s="25" t="s">
        <v>4</v>
      </c>
      <c r="E300" s="25">
        <v>10</v>
      </c>
      <c r="F300" s="14" t="s">
        <v>527</v>
      </c>
      <c r="G300" s="26" t="s">
        <v>420</v>
      </c>
      <c r="H300" s="28"/>
      <c r="I300" s="28"/>
      <c r="J300" s="28"/>
      <c r="K300" s="28"/>
      <c r="L300" s="28"/>
      <c r="M300" s="28"/>
      <c r="N300" s="28"/>
      <c r="O300" s="28"/>
      <c r="P300" s="27">
        <v>7.94</v>
      </c>
      <c r="Q300" s="27">
        <f>P300*E300</f>
        <v>79.400000000000006</v>
      </c>
      <c r="R300" s="28"/>
      <c r="S300" s="28"/>
      <c r="T300" s="28"/>
      <c r="U300" s="28"/>
      <c r="V300" s="28"/>
      <c r="W300" s="28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8"/>
      <c r="AQ300" s="28"/>
      <c r="AR300" s="28"/>
      <c r="AS300" s="28"/>
      <c r="AT300" s="28"/>
      <c r="AU300" s="28"/>
      <c r="AV300" s="54"/>
      <c r="AW300" s="54"/>
      <c r="AX300" s="54"/>
      <c r="AY300" s="54"/>
      <c r="AZ300" s="5"/>
      <c r="BA300" s="5"/>
      <c r="BB300" s="6"/>
      <c r="BC300" s="6"/>
      <c r="BD300" s="6"/>
      <c r="BE300" s="6"/>
      <c r="BF300" s="5"/>
      <c r="BG300" s="5"/>
      <c r="BH300" s="6"/>
      <c r="BI300" s="6"/>
      <c r="BJ300" s="6"/>
      <c r="BK300" s="6"/>
      <c r="BL300" s="6"/>
      <c r="BM300" s="6"/>
      <c r="BN300" s="6"/>
      <c r="BO300" s="6"/>
      <c r="BP300" s="6"/>
      <c r="BQ300" s="6"/>
    </row>
    <row r="301" spans="1:69" ht="43.2" x14ac:dyDescent="0.3">
      <c r="A301" s="129"/>
      <c r="B301" s="63">
        <v>298</v>
      </c>
      <c r="C301" s="57" t="s">
        <v>530</v>
      </c>
      <c r="D301" s="5" t="s">
        <v>4</v>
      </c>
      <c r="E301" s="5">
        <v>10</v>
      </c>
      <c r="F301" s="15" t="s">
        <v>529</v>
      </c>
      <c r="G301" s="8" t="s">
        <v>420</v>
      </c>
      <c r="H301" s="6"/>
      <c r="I301" s="6"/>
      <c r="J301" s="6"/>
      <c r="K301" s="6"/>
      <c r="L301" s="6"/>
      <c r="M301" s="6"/>
      <c r="N301" s="17">
        <v>2.73</v>
      </c>
      <c r="O301" s="17">
        <f>N301*E301</f>
        <v>27.3</v>
      </c>
      <c r="P301" s="6"/>
      <c r="Q301" s="6"/>
      <c r="R301" s="6"/>
      <c r="S301" s="6"/>
      <c r="T301" s="6"/>
      <c r="U301" s="6"/>
      <c r="V301" s="6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6"/>
      <c r="AQ301" s="6"/>
      <c r="AR301" s="6"/>
      <c r="AS301" s="6"/>
      <c r="AT301" s="6"/>
      <c r="AU301" s="6"/>
      <c r="AV301" s="7"/>
      <c r="AW301" s="7"/>
      <c r="AX301" s="7"/>
      <c r="AY301" s="7"/>
      <c r="AZ301" s="5"/>
      <c r="BA301" s="5"/>
      <c r="BB301" s="6"/>
      <c r="BC301" s="6"/>
      <c r="BD301" s="6"/>
      <c r="BE301" s="6"/>
      <c r="BF301" s="5"/>
      <c r="BG301" s="5"/>
      <c r="BH301" s="6"/>
      <c r="BI301" s="6"/>
      <c r="BJ301" s="6"/>
      <c r="BK301" s="6"/>
      <c r="BL301" s="6"/>
      <c r="BM301" s="6"/>
      <c r="BN301" s="6"/>
      <c r="BO301" s="6"/>
      <c r="BP301" s="6"/>
      <c r="BQ301" s="6"/>
    </row>
    <row r="302" spans="1:69" ht="28.8" x14ac:dyDescent="0.3">
      <c r="A302" s="129"/>
      <c r="B302" s="63">
        <v>299</v>
      </c>
      <c r="C302" s="55" t="s">
        <v>532</v>
      </c>
      <c r="D302" s="5" t="s">
        <v>4</v>
      </c>
      <c r="E302" s="5">
        <v>8</v>
      </c>
      <c r="F302" s="15" t="s">
        <v>531</v>
      </c>
      <c r="G302" s="8" t="s">
        <v>420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17">
        <v>74.260000000000005</v>
      </c>
      <c r="AI302" s="17">
        <f>AH302*E302</f>
        <v>594.08000000000004</v>
      </c>
      <c r="AJ302" s="5"/>
      <c r="AK302" s="5"/>
      <c r="AL302" s="5"/>
      <c r="AM302" s="5"/>
      <c r="AN302" s="5"/>
      <c r="AO302" s="5"/>
      <c r="AP302" s="6"/>
      <c r="AQ302" s="6"/>
      <c r="AR302" s="6"/>
      <c r="AS302" s="6"/>
      <c r="AT302" s="6"/>
      <c r="AU302" s="6"/>
      <c r="AV302" s="7"/>
      <c r="AW302" s="7"/>
      <c r="AX302" s="7"/>
      <c r="AY302" s="7"/>
      <c r="AZ302" s="5"/>
      <c r="BA302" s="5"/>
      <c r="BB302" s="6"/>
      <c r="BC302" s="6"/>
      <c r="BD302" s="6"/>
      <c r="BE302" s="6"/>
      <c r="BF302" s="5"/>
      <c r="BG302" s="5"/>
      <c r="BH302" s="6"/>
      <c r="BI302" s="6"/>
      <c r="BJ302" s="6"/>
      <c r="BK302" s="6"/>
      <c r="BL302" s="6"/>
      <c r="BM302" s="6"/>
      <c r="BN302" s="6"/>
      <c r="BO302" s="6"/>
      <c r="BP302" s="6"/>
      <c r="BQ302" s="6"/>
    </row>
    <row r="303" spans="1:69" ht="43.2" x14ac:dyDescent="0.3">
      <c r="A303" s="129"/>
      <c r="B303" s="63">
        <v>300</v>
      </c>
      <c r="C303" s="57" t="s">
        <v>533</v>
      </c>
      <c r="D303" s="5" t="s">
        <v>4</v>
      </c>
      <c r="E303" s="5">
        <v>10</v>
      </c>
      <c r="F303" s="15" t="s">
        <v>603</v>
      </c>
      <c r="G303" s="8" t="s">
        <v>420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17">
        <v>16.14</v>
      </c>
      <c r="AI303" s="17">
        <f>AH303*E303</f>
        <v>161.4</v>
      </c>
      <c r="AJ303" s="5"/>
      <c r="AK303" s="5"/>
      <c r="AL303" s="5"/>
      <c r="AM303" s="5"/>
      <c r="AN303" s="5"/>
      <c r="AO303" s="5"/>
      <c r="AP303" s="6"/>
      <c r="AQ303" s="6"/>
      <c r="AR303" s="6"/>
      <c r="AS303" s="6"/>
      <c r="AT303" s="6"/>
      <c r="AU303" s="6"/>
      <c r="AV303" s="7"/>
      <c r="AW303" s="7"/>
      <c r="AX303" s="7"/>
      <c r="AY303" s="7"/>
      <c r="AZ303" s="5"/>
      <c r="BA303" s="5"/>
      <c r="BB303" s="6"/>
      <c r="BC303" s="6"/>
      <c r="BD303" s="6"/>
      <c r="BE303" s="6"/>
      <c r="BF303" s="5"/>
      <c r="BG303" s="5"/>
      <c r="BH303" s="6"/>
      <c r="BI303" s="6"/>
      <c r="BJ303" s="6"/>
      <c r="BK303" s="6"/>
      <c r="BL303" s="6"/>
      <c r="BM303" s="6"/>
      <c r="BN303" s="6"/>
      <c r="BO303" s="6"/>
      <c r="BP303" s="6"/>
      <c r="BQ303" s="6"/>
    </row>
    <row r="304" spans="1:69" ht="43.2" x14ac:dyDescent="0.3">
      <c r="A304" s="129"/>
      <c r="B304" s="63">
        <v>301</v>
      </c>
      <c r="C304" s="55" t="s">
        <v>535</v>
      </c>
      <c r="D304" s="5" t="s">
        <v>4</v>
      </c>
      <c r="E304" s="5">
        <v>10</v>
      </c>
      <c r="F304" s="15" t="s">
        <v>534</v>
      </c>
      <c r="G304" s="8" t="s">
        <v>420</v>
      </c>
      <c r="H304" s="6"/>
      <c r="I304" s="6"/>
      <c r="J304" s="6"/>
      <c r="K304" s="6"/>
      <c r="L304" s="6"/>
      <c r="M304" s="6"/>
      <c r="N304" s="17">
        <v>34.4</v>
      </c>
      <c r="O304" s="17">
        <f>N304*E304</f>
        <v>344</v>
      </c>
      <c r="P304" s="6"/>
      <c r="Q304" s="6"/>
      <c r="R304" s="6"/>
      <c r="S304" s="6"/>
      <c r="T304" s="6"/>
      <c r="U304" s="6"/>
      <c r="V304" s="6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6"/>
      <c r="AQ304" s="6"/>
      <c r="AR304" s="6"/>
      <c r="AS304" s="6"/>
      <c r="AT304" s="6"/>
      <c r="AU304" s="6"/>
      <c r="AV304" s="7"/>
      <c r="AW304" s="7"/>
      <c r="AX304" s="7"/>
      <c r="AY304" s="7"/>
      <c r="AZ304" s="5"/>
      <c r="BA304" s="5"/>
      <c r="BB304" s="6"/>
      <c r="BC304" s="6"/>
      <c r="BD304" s="6"/>
      <c r="BE304" s="6"/>
      <c r="BF304" s="5"/>
      <c r="BG304" s="5"/>
      <c r="BH304" s="6"/>
      <c r="BI304" s="6"/>
      <c r="BJ304" s="6"/>
      <c r="BK304" s="6"/>
      <c r="BL304" s="6"/>
      <c r="BM304" s="6"/>
      <c r="BN304" s="6"/>
      <c r="BO304" s="6"/>
      <c r="BP304" s="6"/>
      <c r="BQ304" s="6"/>
    </row>
    <row r="305" spans="1:69" ht="28.8" x14ac:dyDescent="0.3">
      <c r="A305" s="129"/>
      <c r="B305" s="63">
        <v>302</v>
      </c>
      <c r="C305" s="57" t="s">
        <v>537</v>
      </c>
      <c r="D305" s="5" t="s">
        <v>4</v>
      </c>
      <c r="E305" s="5">
        <v>10</v>
      </c>
      <c r="F305" s="15" t="s">
        <v>536</v>
      </c>
      <c r="G305" s="8" t="s">
        <v>420</v>
      </c>
      <c r="H305" s="6"/>
      <c r="I305" s="6"/>
      <c r="J305" s="6"/>
      <c r="K305" s="6"/>
      <c r="L305" s="6"/>
      <c r="M305" s="6"/>
      <c r="N305" s="6"/>
      <c r="O305" s="6"/>
      <c r="P305" s="17">
        <v>10.119999999999999</v>
      </c>
      <c r="Q305" s="17">
        <f>P305*E305</f>
        <v>101.19999999999999</v>
      </c>
      <c r="R305" s="6"/>
      <c r="S305" s="6"/>
      <c r="T305" s="6"/>
      <c r="U305" s="6"/>
      <c r="V305" s="6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6"/>
      <c r="AQ305" s="6"/>
      <c r="AR305" s="6"/>
      <c r="AS305" s="6"/>
      <c r="AT305" s="6"/>
      <c r="AU305" s="6"/>
      <c r="AV305" s="7"/>
      <c r="AW305" s="7"/>
      <c r="AX305" s="7"/>
      <c r="AY305" s="7"/>
      <c r="AZ305" s="5"/>
      <c r="BA305" s="5"/>
      <c r="BB305" s="6"/>
      <c r="BC305" s="6"/>
      <c r="BD305" s="6"/>
      <c r="BE305" s="6"/>
      <c r="BF305" s="5"/>
      <c r="BG305" s="5"/>
      <c r="BH305" s="6"/>
      <c r="BI305" s="6"/>
      <c r="BJ305" s="6"/>
      <c r="BK305" s="6"/>
      <c r="BL305" s="6"/>
      <c r="BM305" s="6"/>
      <c r="BN305" s="6"/>
      <c r="BO305" s="6"/>
      <c r="BP305" s="6"/>
      <c r="BQ305" s="6"/>
    </row>
    <row r="306" spans="1:69" ht="28.8" x14ac:dyDescent="0.3">
      <c r="A306" s="129"/>
      <c r="B306" s="63">
        <v>303</v>
      </c>
      <c r="C306" s="55" t="s">
        <v>539</v>
      </c>
      <c r="D306" s="5" t="s">
        <v>4</v>
      </c>
      <c r="E306" s="5">
        <v>10</v>
      </c>
      <c r="F306" s="15" t="s">
        <v>538</v>
      </c>
      <c r="G306" s="8" t="s">
        <v>420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17">
        <v>51.79</v>
      </c>
      <c r="AI306" s="17">
        <f>AH306*E306</f>
        <v>517.9</v>
      </c>
      <c r="AJ306" s="5"/>
      <c r="AK306" s="5"/>
      <c r="AL306" s="5"/>
      <c r="AM306" s="5"/>
      <c r="AN306" s="5"/>
      <c r="AO306" s="5"/>
      <c r="AP306" s="6"/>
      <c r="AQ306" s="6"/>
      <c r="AR306" s="6"/>
      <c r="AS306" s="6"/>
      <c r="AT306" s="6"/>
      <c r="AU306" s="6"/>
      <c r="AV306" s="7"/>
      <c r="AW306" s="7"/>
      <c r="AX306" s="7"/>
      <c r="AY306" s="7"/>
      <c r="AZ306" s="5"/>
      <c r="BA306" s="5"/>
      <c r="BB306" s="6"/>
      <c r="BC306" s="6"/>
      <c r="BD306" s="6"/>
      <c r="BE306" s="6"/>
      <c r="BF306" s="5"/>
      <c r="BG306" s="5"/>
      <c r="BH306" s="6"/>
      <c r="BI306" s="6"/>
      <c r="BJ306" s="6"/>
      <c r="BK306" s="6"/>
      <c r="BL306" s="6"/>
      <c r="BM306" s="6"/>
      <c r="BN306" s="6"/>
      <c r="BO306" s="6"/>
      <c r="BP306" s="6"/>
      <c r="BQ306" s="6"/>
    </row>
    <row r="307" spans="1:69" ht="28.8" x14ac:dyDescent="0.3">
      <c r="A307" s="129"/>
      <c r="B307" s="63">
        <v>304</v>
      </c>
      <c r="C307" s="57" t="s">
        <v>541</v>
      </c>
      <c r="D307" s="5" t="s">
        <v>4</v>
      </c>
      <c r="E307" s="5">
        <v>5</v>
      </c>
      <c r="F307" s="15" t="s">
        <v>540</v>
      </c>
      <c r="G307" s="8" t="s">
        <v>420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17">
        <v>106.15</v>
      </c>
      <c r="AI307" s="17">
        <f>AH307*E307</f>
        <v>530.75</v>
      </c>
      <c r="AJ307" s="5"/>
      <c r="AK307" s="5"/>
      <c r="AL307" s="5"/>
      <c r="AM307" s="5"/>
      <c r="AN307" s="5"/>
      <c r="AO307" s="5"/>
      <c r="AP307" s="6"/>
      <c r="AQ307" s="6"/>
      <c r="AR307" s="6"/>
      <c r="AS307" s="6"/>
      <c r="AT307" s="6"/>
      <c r="AU307" s="6"/>
      <c r="AV307" s="7"/>
      <c r="AW307" s="7"/>
      <c r="AX307" s="7"/>
      <c r="AY307" s="7"/>
      <c r="AZ307" s="5"/>
      <c r="BA307" s="5"/>
      <c r="BB307" s="6"/>
      <c r="BC307" s="6"/>
      <c r="BD307" s="6"/>
      <c r="BE307" s="6"/>
      <c r="BF307" s="5"/>
      <c r="BG307" s="5"/>
      <c r="BH307" s="6"/>
      <c r="BI307" s="6"/>
      <c r="BJ307" s="6"/>
      <c r="BK307" s="6"/>
      <c r="BL307" s="6"/>
      <c r="BM307" s="6"/>
      <c r="BN307" s="6"/>
      <c r="BO307" s="6"/>
      <c r="BP307" s="6"/>
      <c r="BQ307" s="6"/>
    </row>
    <row r="308" spans="1:69" ht="28.8" x14ac:dyDescent="0.3">
      <c r="A308" s="129"/>
      <c r="B308" s="63">
        <v>305</v>
      </c>
      <c r="C308" s="55" t="s">
        <v>543</v>
      </c>
      <c r="D308" s="5" t="s">
        <v>4</v>
      </c>
      <c r="E308" s="5">
        <v>8</v>
      </c>
      <c r="F308" s="15" t="s">
        <v>542</v>
      </c>
      <c r="G308" s="8" t="s">
        <v>420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17">
        <v>50.83</v>
      </c>
      <c r="Y308" s="17">
        <f>X308*E308</f>
        <v>406.64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6"/>
      <c r="AQ308" s="6"/>
      <c r="AR308" s="6"/>
      <c r="AS308" s="6"/>
      <c r="AT308" s="6"/>
      <c r="AU308" s="6"/>
      <c r="AV308" s="7"/>
      <c r="AW308" s="7"/>
      <c r="AX308" s="7"/>
      <c r="AY308" s="7"/>
      <c r="AZ308" s="5"/>
      <c r="BA308" s="5"/>
      <c r="BB308" s="6"/>
      <c r="BC308" s="6"/>
      <c r="BD308" s="6"/>
      <c r="BE308" s="6"/>
      <c r="BF308" s="5"/>
      <c r="BG308" s="5"/>
      <c r="BH308" s="6"/>
      <c r="BI308" s="6"/>
      <c r="BJ308" s="6"/>
      <c r="BK308" s="6"/>
      <c r="BL308" s="6"/>
      <c r="BM308" s="6"/>
      <c r="BN308" s="6"/>
      <c r="BO308" s="6"/>
      <c r="BP308" s="6"/>
      <c r="BQ308" s="6"/>
    </row>
    <row r="309" spans="1:69" ht="27.6" x14ac:dyDescent="0.3">
      <c r="A309" s="129"/>
      <c r="B309" s="63">
        <v>306</v>
      </c>
      <c r="C309" s="57" t="s">
        <v>545</v>
      </c>
      <c r="D309" s="5" t="s">
        <v>4</v>
      </c>
      <c r="E309" s="5">
        <v>20</v>
      </c>
      <c r="F309" s="15" t="s">
        <v>544</v>
      </c>
      <c r="G309" s="8" t="s">
        <v>420</v>
      </c>
      <c r="H309" s="6"/>
      <c r="I309" s="6"/>
      <c r="J309" s="6"/>
      <c r="K309" s="6"/>
      <c r="L309" s="6"/>
      <c r="M309" s="6"/>
      <c r="N309" s="6"/>
      <c r="O309" s="6"/>
      <c r="P309" s="17">
        <v>6.35</v>
      </c>
      <c r="Q309" s="17">
        <f>P309*E309</f>
        <v>127</v>
      </c>
      <c r="R309" s="6"/>
      <c r="S309" s="6"/>
      <c r="T309" s="6"/>
      <c r="U309" s="6"/>
      <c r="V309" s="6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6"/>
      <c r="AQ309" s="6"/>
      <c r="AR309" s="6"/>
      <c r="AS309" s="6"/>
      <c r="AT309" s="6"/>
      <c r="AU309" s="6"/>
      <c r="AV309" s="7"/>
      <c r="AW309" s="7"/>
      <c r="AX309" s="7"/>
      <c r="AY309" s="7"/>
      <c r="AZ309" s="5"/>
      <c r="BA309" s="5"/>
      <c r="BB309" s="6"/>
      <c r="BC309" s="6"/>
      <c r="BD309" s="6"/>
      <c r="BE309" s="6"/>
      <c r="BF309" s="5"/>
      <c r="BG309" s="5"/>
      <c r="BH309" s="6"/>
      <c r="BI309" s="6"/>
      <c r="BJ309" s="6"/>
      <c r="BK309" s="6"/>
      <c r="BL309" s="6"/>
      <c r="BM309" s="6"/>
      <c r="BN309" s="6"/>
      <c r="BO309" s="6"/>
      <c r="BP309" s="6"/>
      <c r="BQ309" s="6"/>
    </row>
    <row r="310" spans="1:69" ht="28.8" x14ac:dyDescent="0.3">
      <c r="A310" s="129"/>
      <c r="B310" s="63">
        <v>307</v>
      </c>
      <c r="C310" s="55" t="s">
        <v>547</v>
      </c>
      <c r="D310" s="5" t="s">
        <v>4</v>
      </c>
      <c r="E310" s="5">
        <v>20</v>
      </c>
      <c r="F310" s="15" t="s">
        <v>546</v>
      </c>
      <c r="G310" s="8" t="s">
        <v>420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17">
        <v>8.42</v>
      </c>
      <c r="AI310" s="17">
        <f>AH310*E310</f>
        <v>168.4</v>
      </c>
      <c r="AJ310" s="5"/>
      <c r="AK310" s="5"/>
      <c r="AL310" s="5"/>
      <c r="AM310" s="5"/>
      <c r="AN310" s="5"/>
      <c r="AO310" s="5"/>
      <c r="AP310" s="6"/>
      <c r="AQ310" s="6"/>
      <c r="AR310" s="6"/>
      <c r="AS310" s="6"/>
      <c r="AT310" s="6"/>
      <c r="AU310" s="6"/>
      <c r="AV310" s="7"/>
      <c r="AW310" s="7"/>
      <c r="AX310" s="7"/>
      <c r="AY310" s="7"/>
      <c r="AZ310" s="5"/>
      <c r="BA310" s="5"/>
      <c r="BB310" s="6"/>
      <c r="BC310" s="6"/>
      <c r="BD310" s="6"/>
      <c r="BE310" s="6"/>
      <c r="BF310" s="5"/>
      <c r="BG310" s="5"/>
      <c r="BH310" s="6"/>
      <c r="BI310" s="6"/>
      <c r="BJ310" s="6"/>
      <c r="BK310" s="6"/>
      <c r="BL310" s="6"/>
      <c r="BM310" s="6"/>
      <c r="BN310" s="6"/>
      <c r="BO310" s="6"/>
      <c r="BP310" s="6"/>
      <c r="BQ310" s="6"/>
    </row>
    <row r="311" spans="1:69" ht="28.8" x14ac:dyDescent="0.3">
      <c r="A311" s="129"/>
      <c r="B311" s="63">
        <v>308</v>
      </c>
      <c r="C311" s="57" t="s">
        <v>549</v>
      </c>
      <c r="D311" s="5" t="s">
        <v>4</v>
      </c>
      <c r="E311" s="5">
        <v>10</v>
      </c>
      <c r="F311" s="15" t="s">
        <v>548</v>
      </c>
      <c r="G311" s="8" t="s">
        <v>420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17">
        <v>34.19</v>
      </c>
      <c r="AI311" s="17">
        <f>AH311*E311</f>
        <v>341.9</v>
      </c>
      <c r="AJ311" s="5"/>
      <c r="AK311" s="5"/>
      <c r="AL311" s="5"/>
      <c r="AM311" s="5"/>
      <c r="AN311" s="5"/>
      <c r="AO311" s="5"/>
      <c r="AP311" s="6"/>
      <c r="AQ311" s="6"/>
      <c r="AR311" s="6"/>
      <c r="AS311" s="6"/>
      <c r="AT311" s="6"/>
      <c r="AU311" s="6"/>
      <c r="AV311" s="7"/>
      <c r="AW311" s="7"/>
      <c r="AX311" s="7"/>
      <c r="AY311" s="7"/>
      <c r="AZ311" s="5"/>
      <c r="BA311" s="5"/>
      <c r="BB311" s="6"/>
      <c r="BC311" s="6"/>
      <c r="BD311" s="6"/>
      <c r="BE311" s="6"/>
      <c r="BF311" s="5"/>
      <c r="BG311" s="5"/>
      <c r="BH311" s="6"/>
      <c r="BI311" s="6"/>
      <c r="BJ311" s="6"/>
      <c r="BK311" s="6"/>
      <c r="BL311" s="6"/>
      <c r="BM311" s="6"/>
      <c r="BN311" s="6"/>
      <c r="BO311" s="6"/>
      <c r="BP311" s="6"/>
      <c r="BQ311" s="6"/>
    </row>
    <row r="312" spans="1:69" ht="28.8" x14ac:dyDescent="0.3">
      <c r="A312" s="129"/>
      <c r="B312" s="63">
        <v>309</v>
      </c>
      <c r="C312" s="55" t="s">
        <v>551</v>
      </c>
      <c r="D312" s="5" t="s">
        <v>4</v>
      </c>
      <c r="E312" s="5">
        <v>100</v>
      </c>
      <c r="F312" s="15" t="s">
        <v>550</v>
      </c>
      <c r="G312" s="8" t="s">
        <v>420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17">
        <v>0.44530999999999998</v>
      </c>
      <c r="AI312" s="17">
        <f>AH312*302</f>
        <v>134.48362</v>
      </c>
      <c r="AJ312" s="5"/>
      <c r="AK312" s="5"/>
      <c r="AL312" s="5"/>
      <c r="AM312" s="5"/>
      <c r="AN312" s="5"/>
      <c r="AO312" s="5"/>
      <c r="AP312" s="6"/>
      <c r="AQ312" s="6"/>
      <c r="AR312" s="6"/>
      <c r="AS312" s="6"/>
      <c r="AT312" s="6"/>
      <c r="AU312" s="6"/>
      <c r="AV312" s="7"/>
      <c r="AW312" s="7"/>
      <c r="AX312" s="7"/>
      <c r="AY312" s="7"/>
      <c r="AZ312" s="5"/>
      <c r="BA312" s="5"/>
      <c r="BB312" s="6"/>
      <c r="BC312" s="6"/>
      <c r="BD312" s="6"/>
      <c r="BE312" s="6"/>
      <c r="BF312" s="5"/>
      <c r="BG312" s="5"/>
      <c r="BH312" s="6"/>
      <c r="BI312" s="6"/>
      <c r="BJ312" s="6"/>
      <c r="BK312" s="6"/>
      <c r="BL312" s="6"/>
      <c r="BM312" s="6"/>
      <c r="BN312" s="6"/>
      <c r="BO312" s="6"/>
      <c r="BP312" s="6"/>
      <c r="BQ312" s="6"/>
    </row>
    <row r="313" spans="1:69" ht="43.2" x14ac:dyDescent="0.3">
      <c r="A313" s="129"/>
      <c r="B313" s="63">
        <v>310</v>
      </c>
      <c r="C313" s="57" t="s">
        <v>559</v>
      </c>
      <c r="D313" s="5" t="s">
        <v>4</v>
      </c>
      <c r="E313" s="5">
        <v>50</v>
      </c>
      <c r="F313" s="15" t="s">
        <v>558</v>
      </c>
      <c r="G313" s="8" t="s">
        <v>420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6"/>
      <c r="AQ313" s="6"/>
      <c r="AR313" s="6"/>
      <c r="AS313" s="6"/>
      <c r="AT313" s="17">
        <v>0.46</v>
      </c>
      <c r="AU313" s="17">
        <f>AT313*E313</f>
        <v>23</v>
      </c>
      <c r="AV313" s="7"/>
      <c r="AW313" s="7"/>
      <c r="AX313" s="7"/>
      <c r="AY313" s="7"/>
      <c r="AZ313" s="5"/>
      <c r="BA313" s="5"/>
      <c r="BB313" s="6"/>
      <c r="BC313" s="6"/>
      <c r="BD313" s="6"/>
      <c r="BE313" s="6"/>
      <c r="BF313" s="5"/>
      <c r="BG313" s="5"/>
      <c r="BH313" s="6"/>
      <c r="BI313" s="6"/>
      <c r="BJ313" s="6"/>
      <c r="BK313" s="6"/>
      <c r="BL313" s="6"/>
      <c r="BM313" s="6"/>
      <c r="BN313" s="6"/>
      <c r="BO313" s="6"/>
      <c r="BP313" s="6"/>
      <c r="BQ313" s="6"/>
    </row>
    <row r="314" spans="1:69" ht="43.2" x14ac:dyDescent="0.3">
      <c r="A314" s="129"/>
      <c r="B314" s="63">
        <v>311</v>
      </c>
      <c r="C314" s="55" t="s">
        <v>561</v>
      </c>
      <c r="D314" s="5" t="s">
        <v>4</v>
      </c>
      <c r="E314" s="5">
        <v>10</v>
      </c>
      <c r="F314" s="15" t="s">
        <v>560</v>
      </c>
      <c r="G314" s="8" t="s">
        <v>420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6"/>
      <c r="AQ314" s="6"/>
      <c r="AR314" s="6"/>
      <c r="AS314" s="6"/>
      <c r="AT314" s="17">
        <v>9.14</v>
      </c>
      <c r="AU314" s="17">
        <f>AT314*E314</f>
        <v>91.4</v>
      </c>
      <c r="AV314" s="7"/>
      <c r="AW314" s="7"/>
      <c r="AX314" s="7"/>
      <c r="AY314" s="7"/>
      <c r="AZ314" s="5"/>
      <c r="BA314" s="5"/>
      <c r="BB314" s="6"/>
      <c r="BC314" s="6"/>
      <c r="BD314" s="6"/>
      <c r="BE314" s="6"/>
      <c r="BF314" s="5"/>
      <c r="BG314" s="5"/>
      <c r="BH314" s="6"/>
      <c r="BI314" s="6"/>
      <c r="BJ314" s="6"/>
      <c r="BK314" s="6"/>
      <c r="BL314" s="6"/>
      <c r="BM314" s="6"/>
      <c r="BN314" s="6"/>
      <c r="BO314" s="6"/>
      <c r="BP314" s="6"/>
      <c r="BQ314" s="6"/>
    </row>
    <row r="315" spans="1:69" ht="43.2" x14ac:dyDescent="0.3">
      <c r="A315" s="129"/>
      <c r="B315" s="63">
        <v>312</v>
      </c>
      <c r="C315" s="83" t="s">
        <v>563</v>
      </c>
      <c r="D315" s="5" t="s">
        <v>4</v>
      </c>
      <c r="E315" s="5">
        <v>15</v>
      </c>
      <c r="F315" s="15" t="s">
        <v>562</v>
      </c>
      <c r="G315" s="8" t="s">
        <v>420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6"/>
      <c r="AQ315" s="6"/>
      <c r="AR315" s="17">
        <v>6.72</v>
      </c>
      <c r="AS315" s="17">
        <f>AR315*E315</f>
        <v>100.8</v>
      </c>
      <c r="AT315" s="6"/>
      <c r="AU315" s="6"/>
      <c r="AV315" s="7"/>
      <c r="AW315" s="7"/>
      <c r="AX315" s="7"/>
      <c r="AY315" s="7"/>
      <c r="AZ315" s="5"/>
      <c r="BA315" s="5"/>
      <c r="BB315" s="6"/>
      <c r="BC315" s="6"/>
      <c r="BD315" s="6"/>
      <c r="BE315" s="6"/>
      <c r="BF315" s="5"/>
      <c r="BG315" s="5"/>
      <c r="BH315" s="6"/>
      <c r="BI315" s="6"/>
      <c r="BJ315" s="6"/>
      <c r="BK315" s="6"/>
      <c r="BL315" s="6"/>
      <c r="BM315" s="6"/>
      <c r="BN315" s="6"/>
      <c r="BO315" s="6"/>
      <c r="BP315" s="6"/>
      <c r="BQ315" s="6"/>
    </row>
    <row r="316" spans="1:69" ht="27.6" x14ac:dyDescent="0.3">
      <c r="A316" s="129"/>
      <c r="B316" s="63">
        <v>313</v>
      </c>
      <c r="C316" s="84" t="s">
        <v>565</v>
      </c>
      <c r="D316" s="5" t="s">
        <v>4</v>
      </c>
      <c r="E316" s="5">
        <v>10</v>
      </c>
      <c r="F316" s="15" t="s">
        <v>564</v>
      </c>
      <c r="G316" s="8" t="s">
        <v>420</v>
      </c>
      <c r="H316" s="6"/>
      <c r="I316" s="6"/>
      <c r="J316" s="6"/>
      <c r="K316" s="6"/>
      <c r="L316" s="6"/>
      <c r="M316" s="6"/>
      <c r="N316" s="6"/>
      <c r="O316" s="6"/>
      <c r="P316" s="17">
        <v>1.29</v>
      </c>
      <c r="Q316" s="17">
        <f>P316*E316</f>
        <v>12.9</v>
      </c>
      <c r="R316" s="6"/>
      <c r="S316" s="6"/>
      <c r="T316" s="6"/>
      <c r="U316" s="6"/>
      <c r="V316" s="6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6"/>
      <c r="AQ316" s="6"/>
      <c r="AR316" s="6"/>
      <c r="AS316" s="6"/>
      <c r="AT316" s="6"/>
      <c r="AU316" s="6"/>
      <c r="AV316" s="7"/>
      <c r="AW316" s="7"/>
      <c r="AX316" s="7"/>
      <c r="AY316" s="7"/>
      <c r="AZ316" s="5"/>
      <c r="BA316" s="5"/>
      <c r="BB316" s="6"/>
      <c r="BC316" s="6"/>
      <c r="BD316" s="6"/>
      <c r="BE316" s="6"/>
      <c r="BF316" s="5"/>
      <c r="BG316" s="5"/>
      <c r="BH316" s="6"/>
      <c r="BI316" s="6"/>
      <c r="BJ316" s="6"/>
      <c r="BK316" s="6"/>
      <c r="BL316" s="6"/>
      <c r="BM316" s="6"/>
      <c r="BN316" s="6"/>
      <c r="BO316" s="6"/>
      <c r="BP316" s="6"/>
      <c r="BQ316" s="6"/>
    </row>
    <row r="317" spans="1:69" ht="86.4" x14ac:dyDescent="0.3">
      <c r="A317" s="129"/>
      <c r="B317" s="63">
        <v>314</v>
      </c>
      <c r="C317" s="85" t="s">
        <v>567</v>
      </c>
      <c r="D317" s="5" t="s">
        <v>4</v>
      </c>
      <c r="E317" s="5">
        <v>20</v>
      </c>
      <c r="F317" s="15" t="s">
        <v>566</v>
      </c>
      <c r="G317" s="8" t="s">
        <v>420</v>
      </c>
      <c r="H317" s="6"/>
      <c r="I317" s="6"/>
      <c r="J317" s="6"/>
      <c r="K317" s="6"/>
      <c r="L317" s="6"/>
      <c r="M317" s="6"/>
      <c r="N317" s="17">
        <v>2.73</v>
      </c>
      <c r="O317" s="17">
        <f>N317*E317</f>
        <v>54.6</v>
      </c>
      <c r="P317" s="6"/>
      <c r="Q317" s="6"/>
      <c r="R317" s="6"/>
      <c r="S317" s="6"/>
      <c r="T317" s="6"/>
      <c r="U317" s="6"/>
      <c r="V317" s="6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6"/>
      <c r="AQ317" s="6"/>
      <c r="AR317" s="6"/>
      <c r="AS317" s="6"/>
      <c r="AT317" s="6"/>
      <c r="AU317" s="6"/>
      <c r="AV317" s="7"/>
      <c r="AW317" s="7"/>
      <c r="AX317" s="7"/>
      <c r="AY317" s="7"/>
      <c r="AZ317" s="5"/>
      <c r="BA317" s="5"/>
      <c r="BB317" s="6"/>
      <c r="BC317" s="6"/>
      <c r="BD317" s="6"/>
      <c r="BE317" s="6"/>
      <c r="BF317" s="5"/>
      <c r="BG317" s="5"/>
      <c r="BH317" s="6"/>
      <c r="BI317" s="6"/>
      <c r="BJ317" s="6"/>
      <c r="BK317" s="6"/>
      <c r="BL317" s="6"/>
      <c r="BM317" s="6"/>
      <c r="BN317" s="6"/>
      <c r="BO317" s="6"/>
      <c r="BP317" s="6"/>
      <c r="BQ317" s="6"/>
    </row>
    <row r="318" spans="1:69" ht="28.8" x14ac:dyDescent="0.3">
      <c r="A318" s="129"/>
      <c r="B318" s="63">
        <v>315</v>
      </c>
      <c r="C318" s="57" t="s">
        <v>569</v>
      </c>
      <c r="D318" s="5" t="s">
        <v>4</v>
      </c>
      <c r="E318" s="5">
        <v>35</v>
      </c>
      <c r="F318" s="15" t="s">
        <v>568</v>
      </c>
      <c r="G318" s="8" t="s">
        <v>420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6"/>
      <c r="AQ318" s="6"/>
      <c r="AR318" s="6"/>
      <c r="AS318" s="6"/>
      <c r="AT318" s="6"/>
      <c r="AU318" s="6"/>
      <c r="AV318" s="7"/>
      <c r="AW318" s="7"/>
      <c r="AX318" s="7"/>
      <c r="AY318" s="7"/>
      <c r="AZ318" s="5"/>
      <c r="BA318" s="5"/>
      <c r="BB318" s="17">
        <v>35.47</v>
      </c>
      <c r="BC318" s="17">
        <f>BB318*E318</f>
        <v>1241.45</v>
      </c>
      <c r="BD318" s="6"/>
      <c r="BE318" s="6"/>
      <c r="BF318" s="5"/>
      <c r="BG318" s="5"/>
      <c r="BH318" s="6"/>
      <c r="BI318" s="6"/>
      <c r="BJ318" s="6"/>
      <c r="BK318" s="6"/>
      <c r="BL318" s="6"/>
      <c r="BM318" s="6"/>
      <c r="BN318" s="6"/>
      <c r="BO318" s="6"/>
      <c r="BP318" s="6"/>
      <c r="BQ318" s="6"/>
    </row>
    <row r="319" spans="1:69" ht="43.2" x14ac:dyDescent="0.3">
      <c r="A319" s="129"/>
      <c r="B319" s="63">
        <v>316</v>
      </c>
      <c r="C319" s="86" t="s">
        <v>571</v>
      </c>
      <c r="D319" s="5" t="s">
        <v>4</v>
      </c>
      <c r="E319" s="5">
        <v>10</v>
      </c>
      <c r="F319" s="15" t="s">
        <v>570</v>
      </c>
      <c r="G319" s="8" t="s">
        <v>420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6"/>
      <c r="AQ319" s="6"/>
      <c r="AR319" s="17">
        <v>6.94</v>
      </c>
      <c r="AS319" s="17">
        <f>AR319*E319</f>
        <v>69.400000000000006</v>
      </c>
      <c r="AT319" s="6"/>
      <c r="AU319" s="6"/>
      <c r="AV319" s="7"/>
      <c r="AW319" s="7"/>
      <c r="AX319" s="7"/>
      <c r="AY319" s="7"/>
      <c r="AZ319" s="5"/>
      <c r="BA319" s="5"/>
      <c r="BB319" s="6"/>
      <c r="BC319" s="6"/>
      <c r="BD319" s="6"/>
      <c r="BE319" s="6"/>
      <c r="BF319" s="5"/>
      <c r="BG319" s="5"/>
      <c r="BH319" s="6"/>
      <c r="BI319" s="6"/>
      <c r="BJ319" s="6"/>
      <c r="BK319" s="6"/>
      <c r="BL319" s="6"/>
      <c r="BM319" s="6"/>
      <c r="BN319" s="6"/>
      <c r="BO319" s="6"/>
      <c r="BP319" s="6"/>
      <c r="BQ319" s="6"/>
    </row>
    <row r="320" spans="1:69" ht="43.2" x14ac:dyDescent="0.3">
      <c r="A320" s="129"/>
      <c r="B320" s="63">
        <v>317</v>
      </c>
      <c r="C320" s="83" t="s">
        <v>573</v>
      </c>
      <c r="D320" s="5" t="s">
        <v>4</v>
      </c>
      <c r="E320" s="5">
        <v>10</v>
      </c>
      <c r="F320" s="15" t="s">
        <v>572</v>
      </c>
      <c r="G320" s="8" t="s">
        <v>420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6"/>
      <c r="AQ320" s="6"/>
      <c r="AR320" s="17">
        <v>13.43</v>
      </c>
      <c r="AS320" s="17">
        <f>AR320*E320</f>
        <v>134.30000000000001</v>
      </c>
      <c r="AT320" s="6"/>
      <c r="AU320" s="6"/>
      <c r="AV320" s="7"/>
      <c r="AW320" s="7"/>
      <c r="AX320" s="7"/>
      <c r="AY320" s="7"/>
      <c r="AZ320" s="5"/>
      <c r="BA320" s="5"/>
      <c r="BB320" s="6"/>
      <c r="BC320" s="6"/>
      <c r="BD320" s="6"/>
      <c r="BE320" s="6"/>
      <c r="BF320" s="5"/>
      <c r="BG320" s="5"/>
      <c r="BH320" s="6"/>
      <c r="BI320" s="6"/>
      <c r="BJ320" s="6"/>
      <c r="BK320" s="6"/>
      <c r="BL320" s="6"/>
      <c r="BM320" s="6"/>
      <c r="BN320" s="6"/>
      <c r="BO320" s="6"/>
      <c r="BP320" s="6"/>
      <c r="BQ320" s="6"/>
    </row>
    <row r="321" spans="1:69" ht="43.2" x14ac:dyDescent="0.3">
      <c r="A321" s="129"/>
      <c r="B321" s="63">
        <v>318</v>
      </c>
      <c r="C321" s="87" t="s">
        <v>575</v>
      </c>
      <c r="D321" s="5" t="s">
        <v>4</v>
      </c>
      <c r="E321" s="5">
        <v>8</v>
      </c>
      <c r="F321" s="15" t="s">
        <v>574</v>
      </c>
      <c r="G321" s="8" t="s">
        <v>420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6"/>
      <c r="AQ321" s="6"/>
      <c r="AR321" s="6"/>
      <c r="AS321" s="6"/>
      <c r="AT321" s="17">
        <v>18.71</v>
      </c>
      <c r="AU321" s="17">
        <f>AT321*E321</f>
        <v>149.68</v>
      </c>
      <c r="AV321" s="7"/>
      <c r="AW321" s="7"/>
      <c r="AX321" s="7"/>
      <c r="AY321" s="7"/>
      <c r="AZ321" s="5"/>
      <c r="BA321" s="5"/>
      <c r="BB321" s="6"/>
      <c r="BC321" s="6"/>
      <c r="BD321" s="6"/>
      <c r="BE321" s="6"/>
      <c r="BF321" s="5"/>
      <c r="BG321" s="5"/>
      <c r="BH321" s="6"/>
      <c r="BI321" s="6"/>
      <c r="BJ321" s="6"/>
      <c r="BK321" s="6"/>
      <c r="BL321" s="6"/>
      <c r="BM321" s="6"/>
      <c r="BN321" s="6"/>
      <c r="BO321" s="6"/>
      <c r="BP321" s="6"/>
      <c r="BQ321" s="6"/>
    </row>
    <row r="322" spans="1:69" ht="57.6" x14ac:dyDescent="0.3">
      <c r="A322" s="129"/>
      <c r="B322" s="63">
        <v>319</v>
      </c>
      <c r="C322" s="83" t="s">
        <v>577</v>
      </c>
      <c r="D322" s="5" t="s">
        <v>4</v>
      </c>
      <c r="E322" s="5">
        <v>10</v>
      </c>
      <c r="F322" s="15" t="s">
        <v>576</v>
      </c>
      <c r="G322" s="8" t="s">
        <v>420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6"/>
      <c r="AQ322" s="6"/>
      <c r="AR322" s="17">
        <v>8.06</v>
      </c>
      <c r="AS322" s="17">
        <f>AR322*E322</f>
        <v>80.600000000000009</v>
      </c>
      <c r="AT322" s="6"/>
      <c r="AU322" s="6"/>
      <c r="AV322" s="7"/>
      <c r="AW322" s="7"/>
      <c r="AX322" s="7"/>
      <c r="AY322" s="7"/>
      <c r="AZ322" s="5"/>
      <c r="BA322" s="5"/>
      <c r="BB322" s="6"/>
      <c r="BC322" s="6"/>
      <c r="BD322" s="6"/>
      <c r="BE322" s="6"/>
      <c r="BF322" s="5"/>
      <c r="BG322" s="5"/>
      <c r="BH322" s="6"/>
      <c r="BI322" s="6"/>
      <c r="BJ322" s="6"/>
      <c r="BK322" s="6"/>
      <c r="BL322" s="6"/>
      <c r="BM322" s="6"/>
      <c r="BN322" s="6"/>
      <c r="BO322" s="6"/>
      <c r="BP322" s="6"/>
      <c r="BQ322" s="6"/>
    </row>
    <row r="323" spans="1:69" ht="57.6" x14ac:dyDescent="0.3">
      <c r="A323" s="129"/>
      <c r="B323" s="63">
        <v>320</v>
      </c>
      <c r="C323" s="83" t="s">
        <v>579</v>
      </c>
      <c r="D323" s="5" t="s">
        <v>4</v>
      </c>
      <c r="E323" s="5">
        <v>5</v>
      </c>
      <c r="F323" s="15" t="s">
        <v>578</v>
      </c>
      <c r="G323" s="8" t="s">
        <v>420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6"/>
      <c r="AQ323" s="6"/>
      <c r="AR323" s="17">
        <v>8.9600000000000009</v>
      </c>
      <c r="AS323" s="17">
        <f>AR323*E323</f>
        <v>44.800000000000004</v>
      </c>
      <c r="AT323" s="6"/>
      <c r="AU323" s="6"/>
      <c r="AV323" s="7"/>
      <c r="AW323" s="7"/>
      <c r="AX323" s="7"/>
      <c r="AY323" s="7"/>
      <c r="AZ323" s="5"/>
      <c r="BA323" s="5"/>
      <c r="BB323" s="6"/>
      <c r="BC323" s="6"/>
      <c r="BD323" s="6"/>
      <c r="BE323" s="6"/>
      <c r="BF323" s="5"/>
      <c r="BG323" s="5"/>
      <c r="BH323" s="6"/>
      <c r="BI323" s="6"/>
      <c r="BJ323" s="6"/>
      <c r="BK323" s="6"/>
      <c r="BL323" s="6"/>
      <c r="BM323" s="6"/>
      <c r="BN323" s="6"/>
      <c r="BO323" s="6"/>
      <c r="BP323" s="6"/>
      <c r="BQ323" s="6"/>
    </row>
    <row r="324" spans="1:69" ht="27.6" x14ac:dyDescent="0.3">
      <c r="A324" s="129"/>
      <c r="B324" s="63">
        <v>321</v>
      </c>
      <c r="C324" s="84" t="s">
        <v>581</v>
      </c>
      <c r="D324" s="5" t="s">
        <v>4</v>
      </c>
      <c r="E324" s="5">
        <v>40</v>
      </c>
      <c r="F324" s="60" t="s">
        <v>580</v>
      </c>
      <c r="G324" s="8" t="s">
        <v>420</v>
      </c>
      <c r="H324" s="6"/>
      <c r="I324" s="6"/>
      <c r="J324" s="6"/>
      <c r="K324" s="6"/>
      <c r="L324" s="6"/>
      <c r="M324" s="6"/>
      <c r="N324" s="6"/>
      <c r="O324" s="6"/>
      <c r="P324" s="17">
        <v>5.82</v>
      </c>
      <c r="Q324" s="17">
        <f>P324*E324</f>
        <v>232.8</v>
      </c>
      <c r="R324" s="6"/>
      <c r="S324" s="6"/>
      <c r="T324" s="6"/>
      <c r="U324" s="6"/>
      <c r="V324" s="6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6"/>
      <c r="AQ324" s="6"/>
      <c r="AR324" s="6"/>
      <c r="AS324" s="6"/>
      <c r="AT324" s="6"/>
      <c r="AU324" s="6"/>
      <c r="AV324" s="7"/>
      <c r="AW324" s="7"/>
      <c r="AX324" s="7"/>
      <c r="AY324" s="7"/>
      <c r="AZ324" s="5"/>
      <c r="BA324" s="5"/>
      <c r="BB324" s="6"/>
      <c r="BC324" s="6"/>
      <c r="BD324" s="6"/>
      <c r="BE324" s="6"/>
      <c r="BF324" s="5"/>
      <c r="BG324" s="5"/>
      <c r="BH324" s="6"/>
      <c r="BI324" s="6"/>
      <c r="BJ324" s="6"/>
      <c r="BK324" s="6"/>
      <c r="BL324" s="6"/>
      <c r="BM324" s="6"/>
      <c r="BN324" s="6"/>
      <c r="BO324" s="6"/>
      <c r="BP324" s="6"/>
      <c r="BQ324" s="6"/>
    </row>
    <row r="325" spans="1:69" ht="28.8" x14ac:dyDescent="0.3">
      <c r="A325" s="129"/>
      <c r="B325" s="63">
        <v>322</v>
      </c>
      <c r="C325" s="81" t="s">
        <v>583</v>
      </c>
      <c r="D325" s="5" t="s">
        <v>4</v>
      </c>
      <c r="E325" s="5">
        <v>50</v>
      </c>
      <c r="F325" s="15" t="s">
        <v>582</v>
      </c>
      <c r="G325" s="8" t="s">
        <v>420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17">
        <v>0.35060999999999998</v>
      </c>
      <c r="AI325" s="17">
        <f>AH325*E325</f>
        <v>17.5305</v>
      </c>
      <c r="AJ325" s="5"/>
      <c r="AK325" s="5"/>
      <c r="AL325" s="5"/>
      <c r="AM325" s="5"/>
      <c r="AN325" s="5"/>
      <c r="AO325" s="5"/>
      <c r="AP325" s="6"/>
      <c r="AQ325" s="6"/>
      <c r="AR325" s="6"/>
      <c r="AS325" s="6"/>
      <c r="AT325" s="6"/>
      <c r="AU325" s="6"/>
      <c r="AV325" s="7"/>
      <c r="AW325" s="7"/>
      <c r="AX325" s="7"/>
      <c r="AY325" s="7"/>
      <c r="AZ325" s="5"/>
      <c r="BA325" s="5"/>
      <c r="BB325" s="6"/>
      <c r="BC325" s="6"/>
      <c r="BD325" s="6"/>
      <c r="BE325" s="6"/>
      <c r="BF325" s="5"/>
      <c r="BG325" s="5"/>
      <c r="BH325" s="6"/>
      <c r="BI325" s="6"/>
      <c r="BJ325" s="6"/>
      <c r="BK325" s="6"/>
      <c r="BL325" s="6"/>
      <c r="BM325" s="6"/>
      <c r="BN325" s="6"/>
      <c r="BO325" s="6"/>
      <c r="BP325" s="6"/>
      <c r="BQ325" s="6"/>
    </row>
    <row r="326" spans="1:69" ht="28.8" x14ac:dyDescent="0.3">
      <c r="A326" s="129"/>
      <c r="B326" s="63">
        <v>323</v>
      </c>
      <c r="C326" s="80" t="s">
        <v>585</v>
      </c>
      <c r="D326" s="5" t="s">
        <v>4</v>
      </c>
      <c r="E326" s="5">
        <v>2</v>
      </c>
      <c r="F326" s="15" t="s">
        <v>584</v>
      </c>
      <c r="G326" s="8" t="s">
        <v>420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17">
        <v>114.53</v>
      </c>
      <c r="AI326" s="17">
        <f>AH326*E326</f>
        <v>229.06</v>
      </c>
      <c r="AJ326" s="5"/>
      <c r="AK326" s="5"/>
      <c r="AL326" s="5"/>
      <c r="AM326" s="5"/>
      <c r="AN326" s="5"/>
      <c r="AO326" s="5"/>
      <c r="AP326" s="6"/>
      <c r="AQ326" s="6"/>
      <c r="AR326" s="6"/>
      <c r="AS326" s="6"/>
      <c r="AT326" s="6"/>
      <c r="AU326" s="6"/>
      <c r="AV326" s="7"/>
      <c r="AW326" s="7"/>
      <c r="AX326" s="7"/>
      <c r="AY326" s="7"/>
      <c r="AZ326" s="5"/>
      <c r="BA326" s="5"/>
      <c r="BB326" s="6"/>
      <c r="BC326" s="6"/>
      <c r="BD326" s="6"/>
      <c r="BE326" s="6"/>
      <c r="BF326" s="5"/>
      <c r="BG326" s="5"/>
      <c r="BH326" s="6"/>
      <c r="BI326" s="6"/>
      <c r="BJ326" s="6"/>
      <c r="BK326" s="6"/>
      <c r="BL326" s="6"/>
      <c r="BM326" s="6"/>
      <c r="BN326" s="6"/>
      <c r="BO326" s="6"/>
      <c r="BP326" s="6"/>
      <c r="BQ326" s="6"/>
    </row>
    <row r="327" spans="1:69" ht="28.8" x14ac:dyDescent="0.3">
      <c r="A327" s="129"/>
      <c r="B327" s="63">
        <v>324</v>
      </c>
      <c r="C327" s="81" t="s">
        <v>587</v>
      </c>
      <c r="D327" s="5" t="s">
        <v>4</v>
      </c>
      <c r="E327" s="5">
        <v>2</v>
      </c>
      <c r="F327" s="15" t="s">
        <v>586</v>
      </c>
      <c r="G327" s="8" t="s">
        <v>420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17">
        <v>49.19</v>
      </c>
      <c r="AI327" s="17">
        <f>AH327*E327</f>
        <v>98.38</v>
      </c>
      <c r="AJ327" s="5"/>
      <c r="AK327" s="5"/>
      <c r="AL327" s="5"/>
      <c r="AM327" s="5"/>
      <c r="AN327" s="5"/>
      <c r="AO327" s="5"/>
      <c r="AP327" s="6"/>
      <c r="AQ327" s="6"/>
      <c r="AR327" s="6"/>
      <c r="AS327" s="6"/>
      <c r="AT327" s="6"/>
      <c r="AU327" s="6"/>
      <c r="AV327" s="7"/>
      <c r="AW327" s="7"/>
      <c r="AX327" s="7"/>
      <c r="AY327" s="7"/>
      <c r="AZ327" s="5"/>
      <c r="BA327" s="5"/>
      <c r="BB327" s="6"/>
      <c r="BC327" s="6"/>
      <c r="BD327" s="6"/>
      <c r="BE327" s="6"/>
      <c r="BF327" s="5"/>
      <c r="BG327" s="5"/>
      <c r="BH327" s="6"/>
      <c r="BI327" s="6"/>
      <c r="BJ327" s="6"/>
      <c r="BK327" s="6"/>
      <c r="BL327" s="6"/>
      <c r="BM327" s="6"/>
      <c r="BN327" s="6"/>
      <c r="BO327" s="6"/>
      <c r="BP327" s="6"/>
      <c r="BQ327" s="6"/>
    </row>
    <row r="328" spans="1:69" ht="28.8" x14ac:dyDescent="0.3">
      <c r="A328" s="129"/>
      <c r="B328" s="63">
        <v>325</v>
      </c>
      <c r="C328" s="80" t="s">
        <v>589</v>
      </c>
      <c r="D328" s="5" t="s">
        <v>4</v>
      </c>
      <c r="E328" s="5">
        <v>2</v>
      </c>
      <c r="F328" s="15" t="s">
        <v>588</v>
      </c>
      <c r="G328" s="8" t="s">
        <v>420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17">
        <v>60.94</v>
      </c>
      <c r="AI328" s="17">
        <f>AH328*E328</f>
        <v>121.88</v>
      </c>
      <c r="AJ328" s="5"/>
      <c r="AK328" s="5"/>
      <c r="AL328" s="5"/>
      <c r="AM328" s="5"/>
      <c r="AN328" s="5"/>
      <c r="AO328" s="5"/>
      <c r="AP328" s="6"/>
      <c r="AQ328" s="6"/>
      <c r="AR328" s="6"/>
      <c r="AS328" s="6"/>
      <c r="AT328" s="6"/>
      <c r="AU328" s="6"/>
      <c r="AV328" s="7"/>
      <c r="AW328" s="7"/>
      <c r="AX328" s="7"/>
      <c r="AY328" s="7"/>
      <c r="AZ328" s="5"/>
      <c r="BA328" s="5"/>
      <c r="BB328" s="6"/>
      <c r="BC328" s="6"/>
      <c r="BD328" s="6"/>
      <c r="BE328" s="6"/>
      <c r="BF328" s="5"/>
      <c r="BG328" s="5"/>
      <c r="BH328" s="6"/>
      <c r="BI328" s="6"/>
      <c r="BJ328" s="6"/>
      <c r="BK328" s="6"/>
      <c r="BL328" s="6"/>
      <c r="BM328" s="6"/>
      <c r="BN328" s="6"/>
      <c r="BO328" s="6"/>
      <c r="BP328" s="6"/>
      <c r="BQ328" s="6"/>
    </row>
    <row r="329" spans="1:69" x14ac:dyDescent="0.3">
      <c r="A329" s="129"/>
      <c r="B329" s="63">
        <v>326</v>
      </c>
      <c r="C329" s="78" t="s">
        <v>591</v>
      </c>
      <c r="D329" s="5" t="s">
        <v>4</v>
      </c>
      <c r="E329" s="5">
        <v>5</v>
      </c>
      <c r="F329" s="15" t="s">
        <v>590</v>
      </c>
      <c r="G329" s="8" t="s">
        <v>420</v>
      </c>
      <c r="H329" s="6"/>
      <c r="I329" s="6"/>
      <c r="J329" s="6"/>
      <c r="K329" s="6"/>
      <c r="L329" s="6"/>
      <c r="M329" s="6"/>
      <c r="N329" s="6"/>
      <c r="O329" s="6"/>
      <c r="P329" s="17">
        <v>15.35</v>
      </c>
      <c r="Q329" s="17">
        <f>P329*E329</f>
        <v>76.75</v>
      </c>
      <c r="R329" s="6"/>
      <c r="S329" s="6"/>
      <c r="T329" s="6"/>
      <c r="U329" s="6"/>
      <c r="V329" s="6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6"/>
      <c r="AQ329" s="6"/>
      <c r="AR329" s="6"/>
      <c r="AS329" s="6"/>
      <c r="AT329" s="6"/>
      <c r="AU329" s="6"/>
      <c r="AV329" s="7"/>
      <c r="AW329" s="7"/>
      <c r="AX329" s="7"/>
      <c r="AY329" s="7"/>
      <c r="AZ329" s="5"/>
      <c r="BA329" s="5"/>
      <c r="BB329" s="6"/>
      <c r="BC329" s="6"/>
      <c r="BD329" s="6"/>
      <c r="BE329" s="6"/>
      <c r="BF329" s="5"/>
      <c r="BG329" s="5"/>
      <c r="BH329" s="6"/>
      <c r="BI329" s="6"/>
      <c r="BJ329" s="6"/>
      <c r="BK329" s="6"/>
      <c r="BL329" s="6"/>
      <c r="BM329" s="6"/>
      <c r="BN329" s="6"/>
      <c r="BO329" s="6"/>
      <c r="BP329" s="6"/>
      <c r="BQ329" s="6"/>
    </row>
    <row r="330" spans="1:69" ht="31.2" customHeight="1" x14ac:dyDescent="0.3">
      <c r="A330" s="129"/>
      <c r="B330" s="63">
        <v>327</v>
      </c>
      <c r="C330" s="57" t="s">
        <v>593</v>
      </c>
      <c r="D330" s="5" t="s">
        <v>4</v>
      </c>
      <c r="E330" s="5">
        <v>10</v>
      </c>
      <c r="F330" s="15" t="s">
        <v>592</v>
      </c>
      <c r="G330" s="8" t="s">
        <v>420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6"/>
      <c r="AQ330" s="6"/>
      <c r="AR330" s="6"/>
      <c r="AS330" s="6"/>
      <c r="AT330" s="6"/>
      <c r="AU330" s="6"/>
      <c r="AV330" s="7"/>
      <c r="AW330" s="7"/>
      <c r="AX330" s="7"/>
      <c r="AY330" s="7"/>
      <c r="AZ330" s="5"/>
      <c r="BA330" s="5"/>
      <c r="BB330" s="6"/>
      <c r="BC330" s="6"/>
      <c r="BD330" s="17">
        <v>4.84</v>
      </c>
      <c r="BE330" s="17">
        <f>BD330*E330</f>
        <v>48.4</v>
      </c>
      <c r="BF330" s="5"/>
      <c r="BG330" s="5"/>
      <c r="BH330" s="6"/>
      <c r="BI330" s="6"/>
      <c r="BJ330" s="6"/>
      <c r="BK330" s="6"/>
      <c r="BL330" s="6"/>
      <c r="BM330" s="6"/>
      <c r="BN330" s="6"/>
      <c r="BO330" s="6"/>
      <c r="BP330" s="6"/>
      <c r="BQ330" s="6"/>
    </row>
    <row r="331" spans="1:69" x14ac:dyDescent="0.3">
      <c r="A331" s="129"/>
      <c r="B331" s="63">
        <v>328</v>
      </c>
      <c r="C331" s="84" t="s">
        <v>595</v>
      </c>
      <c r="D331" s="5" t="s">
        <v>4</v>
      </c>
      <c r="E331" s="5">
        <v>2</v>
      </c>
      <c r="F331" s="13" t="s">
        <v>594</v>
      </c>
      <c r="G331" s="8" t="s">
        <v>420</v>
      </c>
      <c r="H331" s="6"/>
      <c r="I331" s="6"/>
      <c r="J331" s="6"/>
      <c r="K331" s="6"/>
      <c r="L331" s="6"/>
      <c r="M331" s="6"/>
      <c r="N331" s="6"/>
      <c r="O331" s="6"/>
      <c r="P331" s="17">
        <v>10.5</v>
      </c>
      <c r="Q331" s="17">
        <f>P331*E331</f>
        <v>21</v>
      </c>
      <c r="R331" s="6"/>
      <c r="S331" s="6"/>
      <c r="T331" s="6"/>
      <c r="U331" s="6"/>
      <c r="V331" s="6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6"/>
      <c r="AQ331" s="6"/>
      <c r="AR331" s="6"/>
      <c r="AS331" s="6"/>
      <c r="AT331" s="6"/>
      <c r="AU331" s="6"/>
      <c r="AV331" s="7"/>
      <c r="AW331" s="7"/>
      <c r="AX331" s="7"/>
      <c r="AY331" s="7"/>
      <c r="AZ331" s="5"/>
      <c r="BA331" s="5"/>
      <c r="BB331" s="6"/>
      <c r="BC331" s="6"/>
      <c r="BD331" s="6"/>
      <c r="BE331" s="6"/>
      <c r="BF331" s="5"/>
      <c r="BG331" s="5"/>
      <c r="BH331" s="6"/>
      <c r="BI331" s="6"/>
      <c r="BJ331" s="6"/>
      <c r="BK331" s="6"/>
      <c r="BL331" s="6"/>
      <c r="BM331" s="6"/>
      <c r="BN331" s="6"/>
      <c r="BO331" s="6"/>
      <c r="BP331" s="6"/>
      <c r="BQ331" s="6"/>
    </row>
    <row r="332" spans="1:69" ht="28.8" x14ac:dyDescent="0.3">
      <c r="A332" s="129"/>
      <c r="B332" s="63">
        <v>329</v>
      </c>
      <c r="C332" s="89" t="s">
        <v>597</v>
      </c>
      <c r="D332" s="5" t="s">
        <v>4</v>
      </c>
      <c r="E332" s="5">
        <v>2</v>
      </c>
      <c r="F332" s="15" t="s">
        <v>596</v>
      </c>
      <c r="G332" s="8" t="s">
        <v>420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17">
        <v>50.69</v>
      </c>
      <c r="AI332" s="17">
        <f>AH332*E332</f>
        <v>101.38</v>
      </c>
      <c r="AJ332" s="5"/>
      <c r="AK332" s="5"/>
      <c r="AL332" s="5"/>
      <c r="AM332" s="5"/>
      <c r="AN332" s="5"/>
      <c r="AO332" s="5"/>
      <c r="AP332" s="6"/>
      <c r="AQ332" s="6"/>
      <c r="AR332" s="6"/>
      <c r="AS332" s="6"/>
      <c r="AT332" s="6"/>
      <c r="AU332" s="6"/>
      <c r="AV332" s="7"/>
      <c r="AW332" s="7"/>
      <c r="AX332" s="7"/>
      <c r="AY332" s="7"/>
      <c r="AZ332" s="5"/>
      <c r="BA332" s="5"/>
      <c r="BB332" s="6"/>
      <c r="BC332" s="6"/>
      <c r="BD332" s="6"/>
      <c r="BE332" s="6"/>
      <c r="BF332" s="5"/>
      <c r="BG332" s="5"/>
      <c r="BH332" s="6"/>
      <c r="BI332" s="6"/>
      <c r="BJ332" s="6"/>
      <c r="BK332" s="6"/>
      <c r="BL332" s="6"/>
      <c r="BM332" s="6"/>
      <c r="BN332" s="6"/>
      <c r="BO332" s="6"/>
      <c r="BP332" s="6"/>
      <c r="BQ332" s="6"/>
    </row>
    <row r="333" spans="1:69" x14ac:dyDescent="0.3">
      <c r="A333" s="129"/>
      <c r="B333" s="63">
        <v>330</v>
      </c>
      <c r="C333" s="56" t="s">
        <v>646</v>
      </c>
      <c r="D333" s="5" t="s">
        <v>4</v>
      </c>
      <c r="E333" s="5">
        <v>20</v>
      </c>
      <c r="F333" s="15" t="s">
        <v>647</v>
      </c>
      <c r="G333" s="8" t="s">
        <v>420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17">
        <v>10.36</v>
      </c>
      <c r="U333" s="17">
        <f>T333*E333</f>
        <v>207.2</v>
      </c>
      <c r="V333" s="6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6"/>
      <c r="AQ333" s="6"/>
      <c r="AR333" s="6"/>
      <c r="AS333" s="6"/>
      <c r="AT333" s="6"/>
      <c r="AU333" s="6"/>
      <c r="AV333" s="7"/>
      <c r="AW333" s="7"/>
      <c r="AX333" s="7"/>
      <c r="AY333" s="7"/>
      <c r="AZ333" s="5"/>
      <c r="BA333" s="5"/>
      <c r="BB333" s="6"/>
      <c r="BC333" s="6"/>
      <c r="BD333" s="6"/>
      <c r="BE333" s="6"/>
      <c r="BF333" s="5"/>
      <c r="BG333" s="5"/>
      <c r="BH333" s="6"/>
      <c r="BI333" s="6"/>
      <c r="BJ333" s="6"/>
      <c r="BK333" s="6"/>
      <c r="BL333" s="6"/>
      <c r="BM333" s="6"/>
      <c r="BN333" s="6"/>
      <c r="BO333" s="6"/>
      <c r="BP333" s="6"/>
      <c r="BQ333" s="6"/>
    </row>
    <row r="334" spans="1:69" ht="43.2" x14ac:dyDescent="0.3">
      <c r="A334" s="129"/>
      <c r="B334" s="63">
        <v>331</v>
      </c>
      <c r="C334" s="57" t="s">
        <v>688</v>
      </c>
      <c r="D334" s="5" t="s">
        <v>4</v>
      </c>
      <c r="E334" s="5">
        <v>4</v>
      </c>
      <c r="F334" s="15" t="s">
        <v>687</v>
      </c>
      <c r="G334" s="10" t="s">
        <v>689</v>
      </c>
      <c r="H334" s="114" t="s">
        <v>1004</v>
      </c>
      <c r="I334" s="6"/>
      <c r="J334" s="6"/>
      <c r="K334" s="6"/>
      <c r="L334" s="6"/>
      <c r="M334" s="6"/>
      <c r="N334" s="17">
        <v>138</v>
      </c>
      <c r="O334" s="17">
        <f>N334*E334</f>
        <v>552</v>
      </c>
      <c r="P334" s="6"/>
      <c r="Q334" s="6"/>
      <c r="R334" s="6"/>
      <c r="S334" s="6"/>
      <c r="T334" s="6"/>
      <c r="U334" s="6"/>
      <c r="V334" s="6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6"/>
      <c r="AQ334" s="6"/>
      <c r="AR334" s="6"/>
      <c r="AS334" s="6"/>
      <c r="AT334" s="6"/>
      <c r="AU334" s="6"/>
      <c r="AV334" s="7"/>
      <c r="AW334" s="7"/>
      <c r="AX334" s="7"/>
      <c r="AY334" s="7"/>
      <c r="AZ334" s="5"/>
      <c r="BA334" s="5"/>
      <c r="BB334" s="6"/>
      <c r="BC334" s="6"/>
      <c r="BD334" s="6"/>
      <c r="BE334" s="6"/>
      <c r="BF334" s="5"/>
      <c r="BG334" s="5"/>
      <c r="BH334" s="6"/>
      <c r="BI334" s="6"/>
      <c r="BJ334" s="6"/>
      <c r="BK334" s="6"/>
      <c r="BL334" s="6"/>
      <c r="BM334" s="6"/>
      <c r="BN334" s="6"/>
      <c r="BO334" s="6"/>
      <c r="BP334" s="6"/>
      <c r="BQ334" s="6"/>
    </row>
    <row r="335" spans="1:69" ht="72" x14ac:dyDescent="0.3">
      <c r="A335" s="129"/>
      <c r="B335" s="63">
        <v>332</v>
      </c>
      <c r="C335" s="57" t="s">
        <v>690</v>
      </c>
      <c r="D335" s="5" t="s">
        <v>4</v>
      </c>
      <c r="E335" s="5">
        <v>5</v>
      </c>
      <c r="F335" s="15" t="s">
        <v>691</v>
      </c>
      <c r="G335" s="10" t="s">
        <v>737</v>
      </c>
      <c r="H335" s="6"/>
      <c r="I335" s="6"/>
      <c r="J335" s="6"/>
      <c r="K335" s="6"/>
      <c r="L335" s="6"/>
      <c r="M335" s="6"/>
      <c r="N335" s="17">
        <v>31.46</v>
      </c>
      <c r="O335" s="17">
        <f>N335*E335</f>
        <v>157.30000000000001</v>
      </c>
      <c r="P335" s="6"/>
      <c r="Q335" s="6"/>
      <c r="R335" s="6"/>
      <c r="S335" s="6"/>
      <c r="T335" s="6"/>
      <c r="U335" s="6"/>
      <c r="V335" s="6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6"/>
      <c r="AQ335" s="6"/>
      <c r="AR335" s="6"/>
      <c r="AS335" s="6"/>
      <c r="AT335" s="6"/>
      <c r="AU335" s="6"/>
      <c r="AV335" s="7"/>
      <c r="AW335" s="7"/>
      <c r="AX335" s="7"/>
      <c r="AY335" s="7"/>
      <c r="AZ335" s="5"/>
      <c r="BA335" s="5"/>
      <c r="BB335" s="6"/>
      <c r="BC335" s="6"/>
      <c r="BD335" s="6"/>
      <c r="BE335" s="6"/>
      <c r="BF335" s="5"/>
      <c r="BG335" s="5"/>
      <c r="BH335" s="6"/>
      <c r="BI335" s="6"/>
      <c r="BJ335" s="6"/>
      <c r="BK335" s="6"/>
      <c r="BL335" s="6"/>
      <c r="BM335" s="6"/>
      <c r="BN335" s="6"/>
      <c r="BO335" s="6"/>
      <c r="BP335" s="6"/>
      <c r="BQ335" s="6"/>
    </row>
    <row r="336" spans="1:69" ht="43.2" x14ac:dyDescent="0.3">
      <c r="A336" s="129"/>
      <c r="B336" s="63">
        <v>333</v>
      </c>
      <c r="C336" s="57" t="s">
        <v>692</v>
      </c>
      <c r="D336" s="5" t="s">
        <v>4</v>
      </c>
      <c r="E336" s="5">
        <v>5</v>
      </c>
      <c r="F336" s="15" t="s">
        <v>693</v>
      </c>
      <c r="G336" s="10" t="s">
        <v>737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6"/>
      <c r="AQ336" s="6"/>
      <c r="AR336" s="6"/>
      <c r="AS336" s="6"/>
      <c r="AT336" s="6"/>
      <c r="AU336" s="6"/>
      <c r="AV336" s="7"/>
      <c r="AW336" s="7"/>
      <c r="AX336" s="7"/>
      <c r="AY336" s="7"/>
      <c r="AZ336" s="5"/>
      <c r="BA336" s="5"/>
      <c r="BB336" s="6"/>
      <c r="BC336" s="6"/>
      <c r="BD336" s="6"/>
      <c r="BE336" s="6"/>
      <c r="BF336" s="5"/>
      <c r="BG336" s="5"/>
      <c r="BH336" s="6"/>
      <c r="BI336" s="6"/>
      <c r="BJ336" s="17">
        <v>18.899999999999999</v>
      </c>
      <c r="BK336" s="17">
        <f>BJ336*E336</f>
        <v>94.5</v>
      </c>
      <c r="BL336" s="6"/>
      <c r="BM336" s="6"/>
      <c r="BN336" s="6"/>
      <c r="BO336" s="6"/>
      <c r="BP336" s="6"/>
      <c r="BQ336" s="6"/>
    </row>
    <row r="337" spans="1:69" ht="43.2" x14ac:dyDescent="0.3">
      <c r="A337" s="129"/>
      <c r="B337" s="63">
        <v>334</v>
      </c>
      <c r="C337" s="57" t="s">
        <v>694</v>
      </c>
      <c r="D337" s="5" t="s">
        <v>4</v>
      </c>
      <c r="E337" s="5">
        <v>5</v>
      </c>
      <c r="F337" s="15" t="s">
        <v>695</v>
      </c>
      <c r="G337" s="10" t="s">
        <v>737</v>
      </c>
      <c r="H337" s="6"/>
      <c r="I337" s="6"/>
      <c r="J337" s="6"/>
      <c r="K337" s="6"/>
      <c r="L337" s="6"/>
      <c r="M337" s="6"/>
      <c r="N337" s="17">
        <v>69</v>
      </c>
      <c r="O337" s="17">
        <f>N337*E337</f>
        <v>345</v>
      </c>
      <c r="P337" s="6"/>
      <c r="Q337" s="6"/>
      <c r="R337" s="6"/>
      <c r="S337" s="6"/>
      <c r="T337" s="6"/>
      <c r="U337" s="6"/>
      <c r="V337" s="6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6"/>
      <c r="AQ337" s="6"/>
      <c r="AR337" s="6"/>
      <c r="AS337" s="6"/>
      <c r="AT337" s="6"/>
      <c r="AU337" s="6"/>
      <c r="AV337" s="7"/>
      <c r="AW337" s="7"/>
      <c r="AX337" s="7"/>
      <c r="AY337" s="7"/>
      <c r="AZ337" s="5"/>
      <c r="BA337" s="5"/>
      <c r="BB337" s="6"/>
      <c r="BC337" s="6"/>
      <c r="BD337" s="6"/>
      <c r="BE337" s="6"/>
      <c r="BF337" s="5"/>
      <c r="BG337" s="5"/>
      <c r="BH337" s="6"/>
      <c r="BI337" s="6"/>
      <c r="BJ337" s="6"/>
      <c r="BK337" s="6"/>
      <c r="BL337" s="6"/>
      <c r="BM337" s="6"/>
      <c r="BN337" s="6"/>
      <c r="BO337" s="6"/>
      <c r="BP337" s="6"/>
      <c r="BQ337" s="6"/>
    </row>
    <row r="338" spans="1:69" ht="28.8" x14ac:dyDescent="0.3">
      <c r="A338" s="129"/>
      <c r="B338" s="63">
        <v>335</v>
      </c>
      <c r="C338" s="57" t="s">
        <v>723</v>
      </c>
      <c r="D338" s="5" t="s">
        <v>4</v>
      </c>
      <c r="E338" s="5">
        <v>1</v>
      </c>
      <c r="F338" s="15" t="s">
        <v>722</v>
      </c>
      <c r="G338" s="10" t="s">
        <v>736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17">
        <v>137.55000000000001</v>
      </c>
      <c r="Y338" s="17">
        <f>X338*E338</f>
        <v>137.55000000000001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6"/>
      <c r="AQ338" s="6"/>
      <c r="AR338" s="6"/>
      <c r="AS338" s="6"/>
      <c r="AT338" s="6"/>
      <c r="AU338" s="6"/>
      <c r="AV338" s="7"/>
      <c r="AW338" s="7"/>
      <c r="AX338" s="7"/>
      <c r="AY338" s="7"/>
      <c r="AZ338" s="5"/>
      <c r="BA338" s="5"/>
      <c r="BB338" s="6"/>
      <c r="BC338" s="6"/>
      <c r="BD338" s="6"/>
      <c r="BE338" s="6"/>
      <c r="BF338" s="5"/>
      <c r="BG338" s="5"/>
      <c r="BH338" s="6"/>
      <c r="BI338" s="6"/>
      <c r="BJ338" s="6"/>
      <c r="BK338" s="6"/>
      <c r="BL338" s="6"/>
      <c r="BM338" s="6"/>
      <c r="BN338" s="6"/>
      <c r="BO338" s="6"/>
      <c r="BP338" s="6"/>
      <c r="BQ338" s="6"/>
    </row>
    <row r="339" spans="1:69" ht="43.2" x14ac:dyDescent="0.3">
      <c r="A339" s="129"/>
      <c r="B339" s="63">
        <v>336</v>
      </c>
      <c r="C339" s="57" t="s">
        <v>724</v>
      </c>
      <c r="D339" s="5" t="s">
        <v>4</v>
      </c>
      <c r="E339" s="5">
        <v>10</v>
      </c>
      <c r="F339" s="15" t="s">
        <v>725</v>
      </c>
      <c r="G339" s="10" t="s">
        <v>735</v>
      </c>
      <c r="H339" s="6"/>
      <c r="I339" s="6"/>
      <c r="J339" s="6"/>
      <c r="K339" s="6"/>
      <c r="L339" s="6"/>
      <c r="M339" s="6"/>
      <c r="N339" s="17">
        <v>8.2799999999999994</v>
      </c>
      <c r="O339" s="17">
        <f>N339*E339</f>
        <v>82.8</v>
      </c>
      <c r="P339" s="6"/>
      <c r="Q339" s="6"/>
      <c r="R339" s="6"/>
      <c r="S339" s="6"/>
      <c r="T339" s="6"/>
      <c r="U339" s="6"/>
      <c r="V339" s="6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6"/>
      <c r="AQ339" s="6"/>
      <c r="AR339" s="6"/>
      <c r="AS339" s="6"/>
      <c r="AT339" s="6"/>
      <c r="AU339" s="6"/>
      <c r="AV339" s="7"/>
      <c r="AW339" s="7"/>
      <c r="AX339" s="7"/>
      <c r="AY339" s="7"/>
      <c r="AZ339" s="5"/>
      <c r="BA339" s="5"/>
      <c r="BB339" s="6"/>
      <c r="BC339" s="6"/>
      <c r="BD339" s="6"/>
      <c r="BE339" s="6"/>
      <c r="BF339" s="5"/>
      <c r="BG339" s="5"/>
      <c r="BH339" s="6"/>
      <c r="BI339" s="6"/>
      <c r="BJ339" s="6"/>
      <c r="BK339" s="6"/>
      <c r="BL339" s="6"/>
      <c r="BM339" s="6"/>
      <c r="BN339" s="6"/>
      <c r="BO339" s="6"/>
      <c r="BP339" s="6"/>
      <c r="BQ339" s="6"/>
    </row>
    <row r="340" spans="1:69" x14ac:dyDescent="0.3">
      <c r="A340" s="129"/>
      <c r="B340" s="63">
        <v>337</v>
      </c>
      <c r="C340" s="57" t="s">
        <v>726</v>
      </c>
      <c r="D340" s="5" t="s">
        <v>4</v>
      </c>
      <c r="E340" s="5">
        <v>2</v>
      </c>
      <c r="F340" s="15" t="s">
        <v>729</v>
      </c>
      <c r="G340" s="8" t="s">
        <v>734</v>
      </c>
      <c r="H340" s="6"/>
      <c r="I340" s="6"/>
      <c r="J340" s="6"/>
      <c r="K340" s="6"/>
      <c r="L340" s="6"/>
      <c r="M340" s="6"/>
      <c r="N340" s="6"/>
      <c r="O340" s="6"/>
      <c r="P340" s="17">
        <v>4.3099999999999996</v>
      </c>
      <c r="Q340" s="17">
        <f>P340*E340</f>
        <v>8.6199999999999992</v>
      </c>
      <c r="R340" s="6"/>
      <c r="S340" s="6"/>
      <c r="T340" s="6"/>
      <c r="U340" s="6"/>
      <c r="V340" s="6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6"/>
      <c r="AQ340" s="6"/>
      <c r="AR340" s="6"/>
      <c r="AS340" s="6"/>
      <c r="AT340" s="6"/>
      <c r="AU340" s="6"/>
      <c r="AV340" s="7"/>
      <c r="AW340" s="7"/>
      <c r="AX340" s="7"/>
      <c r="AY340" s="7"/>
      <c r="AZ340" s="5"/>
      <c r="BA340" s="5"/>
      <c r="BB340" s="6"/>
      <c r="BC340" s="6"/>
      <c r="BD340" s="6"/>
      <c r="BE340" s="6"/>
      <c r="BF340" s="5"/>
      <c r="BG340" s="5"/>
      <c r="BH340" s="6"/>
      <c r="BI340" s="6"/>
      <c r="BJ340" s="6"/>
      <c r="BK340" s="6"/>
      <c r="BL340" s="6"/>
      <c r="BM340" s="6"/>
      <c r="BN340" s="6"/>
      <c r="BO340" s="6"/>
      <c r="BP340" s="6"/>
      <c r="BQ340" s="6"/>
    </row>
    <row r="341" spans="1:69" x14ac:dyDescent="0.3">
      <c r="A341" s="129"/>
      <c r="B341" s="63">
        <v>338</v>
      </c>
      <c r="C341" s="57" t="s">
        <v>727</v>
      </c>
      <c r="D341" s="5" t="s">
        <v>4</v>
      </c>
      <c r="E341" s="5">
        <v>2</v>
      </c>
      <c r="F341" s="15" t="s">
        <v>728</v>
      </c>
      <c r="G341" s="8" t="s">
        <v>734</v>
      </c>
      <c r="H341" s="6"/>
      <c r="I341" s="6"/>
      <c r="J341" s="6"/>
      <c r="K341" s="6"/>
      <c r="L341" s="6"/>
      <c r="M341" s="6"/>
      <c r="N341" s="6"/>
      <c r="O341" s="6"/>
      <c r="P341" s="17">
        <v>35.049999999999997</v>
      </c>
      <c r="Q341" s="17">
        <f>P341*E341</f>
        <v>70.099999999999994</v>
      </c>
      <c r="R341" s="6"/>
      <c r="S341" s="6"/>
      <c r="T341" s="6"/>
      <c r="U341" s="6"/>
      <c r="V341" s="6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6"/>
      <c r="AQ341" s="6"/>
      <c r="AR341" s="6"/>
      <c r="AS341" s="6"/>
      <c r="AT341" s="6"/>
      <c r="AU341" s="6"/>
      <c r="AV341" s="7"/>
      <c r="AW341" s="7"/>
      <c r="AX341" s="7"/>
      <c r="AY341" s="7"/>
      <c r="AZ341" s="5"/>
      <c r="BA341" s="5"/>
      <c r="BB341" s="6"/>
      <c r="BC341" s="6"/>
      <c r="BD341" s="6"/>
      <c r="BE341" s="6"/>
      <c r="BF341" s="5"/>
      <c r="BG341" s="5"/>
      <c r="BH341" s="6"/>
      <c r="BI341" s="6"/>
      <c r="BJ341" s="6"/>
      <c r="BK341" s="6"/>
      <c r="BL341" s="6"/>
      <c r="BM341" s="6"/>
      <c r="BN341" s="6"/>
      <c r="BO341" s="6"/>
      <c r="BP341" s="6"/>
      <c r="BQ341" s="6"/>
    </row>
    <row r="342" spans="1:69" ht="43.2" x14ac:dyDescent="0.3">
      <c r="A342" s="129"/>
      <c r="B342" s="63">
        <v>339</v>
      </c>
      <c r="C342" s="57" t="s">
        <v>731</v>
      </c>
      <c r="D342" s="5" t="s">
        <v>4</v>
      </c>
      <c r="E342" s="5">
        <v>2</v>
      </c>
      <c r="F342" s="15" t="s">
        <v>730</v>
      </c>
      <c r="G342" s="8" t="s">
        <v>734</v>
      </c>
      <c r="H342" s="6"/>
      <c r="I342" s="6"/>
      <c r="J342" s="6"/>
      <c r="K342" s="6"/>
      <c r="L342" s="6"/>
      <c r="M342" s="6"/>
      <c r="N342" s="17">
        <v>7.73</v>
      </c>
      <c r="O342" s="17">
        <f>N342*E342</f>
        <v>15.46</v>
      </c>
      <c r="P342" s="6"/>
      <c r="Q342" s="6"/>
      <c r="R342" s="6"/>
      <c r="S342" s="6"/>
      <c r="T342" s="6"/>
      <c r="U342" s="6"/>
      <c r="V342" s="6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6"/>
      <c r="AQ342" s="6"/>
      <c r="AR342" s="6"/>
      <c r="AS342" s="6"/>
      <c r="AT342" s="6"/>
      <c r="AU342" s="6"/>
      <c r="AV342" s="7"/>
      <c r="AW342" s="7"/>
      <c r="AX342" s="7"/>
      <c r="AY342" s="7"/>
      <c r="AZ342" s="5"/>
      <c r="BA342" s="5"/>
      <c r="BB342" s="6"/>
      <c r="BC342" s="6"/>
      <c r="BD342" s="6"/>
      <c r="BE342" s="6"/>
      <c r="BF342" s="5"/>
      <c r="BG342" s="5"/>
      <c r="BH342" s="6"/>
      <c r="BI342" s="6"/>
      <c r="BJ342" s="6"/>
      <c r="BK342" s="6"/>
      <c r="BL342" s="6"/>
      <c r="BM342" s="6"/>
      <c r="BN342" s="6"/>
      <c r="BO342" s="6"/>
      <c r="BP342" s="6"/>
      <c r="BQ342" s="6"/>
    </row>
    <row r="343" spans="1:69" ht="28.8" x14ac:dyDescent="0.3">
      <c r="A343" s="129"/>
      <c r="B343" s="63">
        <v>340</v>
      </c>
      <c r="C343" s="57" t="s">
        <v>732</v>
      </c>
      <c r="D343" s="5" t="s">
        <v>4</v>
      </c>
      <c r="E343" s="5">
        <v>2</v>
      </c>
      <c r="F343" s="15" t="s">
        <v>733</v>
      </c>
      <c r="G343" s="8" t="s">
        <v>734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6"/>
      <c r="AQ343" s="6"/>
      <c r="AR343" s="6"/>
      <c r="AS343" s="6"/>
      <c r="AT343" s="6"/>
      <c r="AU343" s="6"/>
      <c r="AV343" s="7"/>
      <c r="AW343" s="7"/>
      <c r="AX343" s="7"/>
      <c r="AY343" s="7"/>
      <c r="AZ343" s="5"/>
      <c r="BA343" s="5"/>
      <c r="BB343" s="6"/>
      <c r="BC343" s="6"/>
      <c r="BD343" s="17">
        <v>13.51</v>
      </c>
      <c r="BE343" s="17">
        <f>BD343*E343</f>
        <v>27.02</v>
      </c>
      <c r="BF343" s="5"/>
      <c r="BG343" s="5"/>
      <c r="BH343" s="6"/>
      <c r="BI343" s="6"/>
      <c r="BJ343" s="6"/>
      <c r="BK343" s="6"/>
      <c r="BL343" s="6"/>
      <c r="BM343" s="6"/>
      <c r="BN343" s="6"/>
      <c r="BO343" s="6"/>
      <c r="BP343" s="6"/>
      <c r="BQ343" s="6"/>
    </row>
    <row r="344" spans="1:69" ht="28.8" x14ac:dyDescent="0.3">
      <c r="A344" s="129"/>
      <c r="B344" s="63">
        <v>341</v>
      </c>
      <c r="C344" s="55" t="s">
        <v>745</v>
      </c>
      <c r="D344" s="5" t="s">
        <v>4</v>
      </c>
      <c r="E344" s="5">
        <v>100</v>
      </c>
      <c r="F344" s="15" t="s">
        <v>744</v>
      </c>
      <c r="G344" s="10" t="s">
        <v>858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17">
        <v>0.32905000000000001</v>
      </c>
      <c r="AI344" s="17">
        <f>AH344*E344</f>
        <v>32.905000000000001</v>
      </c>
      <c r="AJ344" s="5"/>
      <c r="AK344" s="5"/>
      <c r="AL344" s="5"/>
      <c r="AM344" s="5"/>
      <c r="AN344" s="5"/>
      <c r="AO344" s="5"/>
      <c r="AP344" s="6"/>
      <c r="AQ344" s="6"/>
      <c r="AR344" s="6"/>
      <c r="AS344" s="6"/>
      <c r="AT344" s="6"/>
      <c r="AU344" s="6"/>
      <c r="AV344" s="7"/>
      <c r="AW344" s="7"/>
      <c r="AX344" s="7"/>
      <c r="AY344" s="7"/>
      <c r="AZ344" s="5"/>
      <c r="BA344" s="5"/>
      <c r="BB344" s="6"/>
      <c r="BC344" s="6"/>
      <c r="BD344" s="6"/>
      <c r="BE344" s="6"/>
      <c r="BF344" s="5"/>
      <c r="BG344" s="5"/>
      <c r="BH344" s="6"/>
      <c r="BI344" s="6"/>
      <c r="BJ344" s="6"/>
      <c r="BK344" s="6"/>
      <c r="BL344" s="6"/>
      <c r="BM344" s="6"/>
      <c r="BN344" s="6"/>
      <c r="BO344" s="6"/>
      <c r="BP344" s="6"/>
      <c r="BQ344" s="6"/>
    </row>
    <row r="345" spans="1:69" ht="28.8" x14ac:dyDescent="0.3">
      <c r="A345" s="129"/>
      <c r="B345" s="63">
        <v>342</v>
      </c>
      <c r="C345" s="57" t="s">
        <v>640</v>
      </c>
      <c r="D345" s="5" t="s">
        <v>4</v>
      </c>
      <c r="E345" s="5">
        <v>50</v>
      </c>
      <c r="F345" s="15" t="s">
        <v>273</v>
      </c>
      <c r="G345" s="10" t="s">
        <v>858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17">
        <v>0.61407999999999996</v>
      </c>
      <c r="AI345" s="17">
        <f>AH345*E345</f>
        <v>30.703999999999997</v>
      </c>
      <c r="AJ345" s="5"/>
      <c r="AK345" s="5"/>
      <c r="AL345" s="5"/>
      <c r="AM345" s="5"/>
      <c r="AN345" s="5"/>
      <c r="AO345" s="5"/>
      <c r="AP345" s="6"/>
      <c r="AQ345" s="6"/>
      <c r="AR345" s="6"/>
      <c r="AS345" s="6"/>
      <c r="AT345" s="6"/>
      <c r="AU345" s="6"/>
      <c r="AV345" s="7"/>
      <c r="AW345" s="7"/>
      <c r="AX345" s="7"/>
      <c r="AY345" s="7"/>
      <c r="AZ345" s="5"/>
      <c r="BA345" s="5"/>
      <c r="BB345" s="6"/>
      <c r="BC345" s="6"/>
      <c r="BD345" s="6"/>
      <c r="BE345" s="6"/>
      <c r="BF345" s="5"/>
      <c r="BG345" s="5"/>
      <c r="BH345" s="6"/>
      <c r="BI345" s="6"/>
      <c r="BJ345" s="6"/>
      <c r="BK345" s="6"/>
      <c r="BL345" s="6"/>
      <c r="BM345" s="6"/>
      <c r="BN345" s="6"/>
      <c r="BO345" s="6"/>
      <c r="BP345" s="6"/>
      <c r="BQ345" s="6"/>
    </row>
    <row r="346" spans="1:69" ht="28.8" x14ac:dyDescent="0.3">
      <c r="A346" s="129"/>
      <c r="B346" s="63">
        <v>343</v>
      </c>
      <c r="C346" s="55" t="s">
        <v>747</v>
      </c>
      <c r="D346" s="5" t="s">
        <v>4</v>
      </c>
      <c r="E346" s="5">
        <v>50</v>
      </c>
      <c r="F346" s="15" t="s">
        <v>746</v>
      </c>
      <c r="G346" s="10" t="s">
        <v>858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17">
        <v>0.69504999999999995</v>
      </c>
      <c r="AI346" s="17">
        <f>AH346*E346</f>
        <v>34.752499999999998</v>
      </c>
      <c r="AJ346" s="5"/>
      <c r="AK346" s="5"/>
      <c r="AL346" s="5"/>
      <c r="AM346" s="5"/>
      <c r="AN346" s="5"/>
      <c r="AO346" s="5"/>
      <c r="AP346" s="6"/>
      <c r="AQ346" s="6"/>
      <c r="AR346" s="6"/>
      <c r="AS346" s="6"/>
      <c r="AT346" s="6"/>
      <c r="AU346" s="6"/>
      <c r="AV346" s="7"/>
      <c r="AW346" s="7"/>
      <c r="AX346" s="7"/>
      <c r="AY346" s="7"/>
      <c r="AZ346" s="5"/>
      <c r="BA346" s="5"/>
      <c r="BB346" s="6"/>
      <c r="BC346" s="6"/>
      <c r="BD346" s="6"/>
      <c r="BE346" s="6"/>
      <c r="BF346" s="5"/>
      <c r="BG346" s="5"/>
      <c r="BH346" s="6"/>
      <c r="BI346" s="6"/>
      <c r="BJ346" s="6"/>
      <c r="BK346" s="6"/>
      <c r="BL346" s="6"/>
      <c r="BM346" s="6"/>
      <c r="BN346" s="6"/>
      <c r="BO346" s="6"/>
      <c r="BP346" s="6"/>
      <c r="BQ346" s="6"/>
    </row>
    <row r="347" spans="1:69" ht="43.2" x14ac:dyDescent="0.3">
      <c r="A347" s="129"/>
      <c r="B347" s="63">
        <v>344</v>
      </c>
      <c r="C347" s="57" t="s">
        <v>748</v>
      </c>
      <c r="D347" s="5" t="s">
        <v>4</v>
      </c>
      <c r="E347" s="5">
        <v>35</v>
      </c>
      <c r="F347" s="15" t="s">
        <v>749</v>
      </c>
      <c r="G347" s="10" t="s">
        <v>858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6"/>
      <c r="AQ347" s="6"/>
      <c r="AR347" s="6"/>
      <c r="AS347" s="6"/>
      <c r="AT347" s="17">
        <v>5.12</v>
      </c>
      <c r="AU347" s="17">
        <f>AT347*E347</f>
        <v>179.20000000000002</v>
      </c>
      <c r="AV347" s="7"/>
      <c r="AW347" s="7"/>
      <c r="AX347" s="7"/>
      <c r="AY347" s="7"/>
      <c r="AZ347" s="5"/>
      <c r="BA347" s="5"/>
      <c r="BB347" s="6"/>
      <c r="BC347" s="6"/>
      <c r="BD347" s="6"/>
      <c r="BE347" s="6"/>
      <c r="BF347" s="5"/>
      <c r="BG347" s="5"/>
      <c r="BH347" s="6"/>
      <c r="BI347" s="6"/>
      <c r="BJ347" s="6"/>
      <c r="BK347" s="6"/>
      <c r="BL347" s="6"/>
      <c r="BM347" s="6"/>
      <c r="BN347" s="6"/>
      <c r="BO347" s="6"/>
      <c r="BP347" s="6"/>
      <c r="BQ347" s="6"/>
    </row>
    <row r="348" spans="1:69" ht="28.8" x14ac:dyDescent="0.3">
      <c r="A348" s="129"/>
      <c r="B348" s="63">
        <v>345</v>
      </c>
      <c r="C348" s="81" t="s">
        <v>751</v>
      </c>
      <c r="D348" s="5" t="s">
        <v>4</v>
      </c>
      <c r="E348" s="5">
        <v>50</v>
      </c>
      <c r="F348" s="15" t="s">
        <v>750</v>
      </c>
      <c r="G348" s="10" t="s">
        <v>858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17">
        <v>0.65498999999999996</v>
      </c>
      <c r="AI348" s="17">
        <f>AH348*E348</f>
        <v>32.749499999999998</v>
      </c>
      <c r="AJ348" s="5"/>
      <c r="AK348" s="5"/>
      <c r="AL348" s="5"/>
      <c r="AM348" s="5"/>
      <c r="AN348" s="5"/>
      <c r="AO348" s="5"/>
      <c r="AP348" s="6"/>
      <c r="AQ348" s="6"/>
      <c r="AR348" s="6"/>
      <c r="AS348" s="6"/>
      <c r="AT348" s="6"/>
      <c r="AU348" s="6"/>
      <c r="AV348" s="7"/>
      <c r="AW348" s="7"/>
      <c r="AX348" s="7"/>
      <c r="AY348" s="7"/>
      <c r="AZ348" s="5"/>
      <c r="BA348" s="5"/>
      <c r="BB348" s="6"/>
      <c r="BC348" s="6"/>
      <c r="BD348" s="6"/>
      <c r="BE348" s="6"/>
      <c r="BF348" s="5"/>
      <c r="BG348" s="5"/>
      <c r="BH348" s="6"/>
      <c r="BI348" s="6"/>
      <c r="BJ348" s="6"/>
      <c r="BK348" s="6"/>
      <c r="BL348" s="6"/>
      <c r="BM348" s="6"/>
      <c r="BN348" s="6"/>
      <c r="BO348" s="6"/>
      <c r="BP348" s="6"/>
      <c r="BQ348" s="6"/>
    </row>
    <row r="349" spans="1:69" ht="28.8" x14ac:dyDescent="0.3">
      <c r="A349" s="129"/>
      <c r="B349" s="63">
        <v>346</v>
      </c>
      <c r="C349" s="55" t="s">
        <v>753</v>
      </c>
      <c r="D349" s="5" t="s">
        <v>4</v>
      </c>
      <c r="E349" s="5">
        <v>50</v>
      </c>
      <c r="F349" s="15" t="s">
        <v>752</v>
      </c>
      <c r="G349" s="10" t="s">
        <v>858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17">
        <v>0.62146999999999997</v>
      </c>
      <c r="AI349" s="17">
        <f>AH349*E349</f>
        <v>31.073499999999999</v>
      </c>
      <c r="AJ349" s="5"/>
      <c r="AK349" s="5"/>
      <c r="AL349" s="5"/>
      <c r="AM349" s="5"/>
      <c r="AN349" s="5"/>
      <c r="AO349" s="5"/>
      <c r="AP349" s="6"/>
      <c r="AQ349" s="6"/>
      <c r="AR349" s="6"/>
      <c r="AS349" s="6"/>
      <c r="AT349" s="6"/>
      <c r="AU349" s="6"/>
      <c r="AV349" s="7"/>
      <c r="AW349" s="7"/>
      <c r="AX349" s="7"/>
      <c r="AY349" s="7"/>
      <c r="AZ349" s="5"/>
      <c r="BA349" s="5"/>
      <c r="BB349" s="6"/>
      <c r="BC349" s="6"/>
      <c r="BD349" s="6"/>
      <c r="BE349" s="6"/>
      <c r="BF349" s="5"/>
      <c r="BG349" s="5"/>
      <c r="BH349" s="6"/>
      <c r="BI349" s="6"/>
      <c r="BJ349" s="6"/>
      <c r="BK349" s="6"/>
      <c r="BL349" s="6"/>
      <c r="BM349" s="6"/>
      <c r="BN349" s="6"/>
      <c r="BO349" s="6"/>
      <c r="BP349" s="6"/>
      <c r="BQ349" s="6"/>
    </row>
    <row r="350" spans="1:69" ht="43.2" x14ac:dyDescent="0.3">
      <c r="A350" s="129"/>
      <c r="B350" s="63">
        <v>347</v>
      </c>
      <c r="C350" s="57" t="s">
        <v>755</v>
      </c>
      <c r="D350" s="5" t="s">
        <v>4</v>
      </c>
      <c r="E350" s="5">
        <v>35</v>
      </c>
      <c r="F350" s="15" t="s">
        <v>754</v>
      </c>
      <c r="G350" s="10" t="s">
        <v>858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6"/>
      <c r="AQ350" s="6"/>
      <c r="AR350" s="6"/>
      <c r="AS350" s="6"/>
      <c r="AT350" s="17">
        <v>9.2100000000000009</v>
      </c>
      <c r="AU350" s="17">
        <f>AT350*E350</f>
        <v>322.35000000000002</v>
      </c>
      <c r="AV350" s="7"/>
      <c r="AW350" s="7"/>
      <c r="AX350" s="7"/>
      <c r="AY350" s="7"/>
      <c r="AZ350" s="5"/>
      <c r="BA350" s="5"/>
      <c r="BB350" s="6"/>
      <c r="BC350" s="6"/>
      <c r="BD350" s="6"/>
      <c r="BE350" s="6"/>
      <c r="BF350" s="5"/>
      <c r="BG350" s="5"/>
      <c r="BH350" s="6"/>
      <c r="BI350" s="6"/>
      <c r="BJ350" s="6"/>
      <c r="BK350" s="6"/>
      <c r="BL350" s="6"/>
      <c r="BM350" s="6"/>
      <c r="BN350" s="6"/>
      <c r="BO350" s="6"/>
      <c r="BP350" s="6"/>
      <c r="BQ350" s="6"/>
    </row>
    <row r="351" spans="1:69" ht="43.2" x14ac:dyDescent="0.3">
      <c r="A351" s="129"/>
      <c r="B351" s="63">
        <v>348</v>
      </c>
      <c r="C351" s="90" t="s">
        <v>757</v>
      </c>
      <c r="D351" s="25" t="s">
        <v>4</v>
      </c>
      <c r="E351" s="25">
        <v>30</v>
      </c>
      <c r="F351" s="14" t="s">
        <v>756</v>
      </c>
      <c r="G351" s="16" t="s">
        <v>858</v>
      </c>
      <c r="H351" s="28"/>
      <c r="I351" s="28"/>
      <c r="J351" s="28"/>
      <c r="K351" s="28"/>
      <c r="L351" s="28"/>
      <c r="M351" s="28"/>
      <c r="N351" s="27">
        <v>16.559999999999999</v>
      </c>
      <c r="O351" s="27">
        <f>N351*E351</f>
        <v>496.79999999999995</v>
      </c>
      <c r="P351" s="28"/>
      <c r="Q351" s="28"/>
      <c r="R351" s="28"/>
      <c r="S351" s="28"/>
      <c r="T351" s="28"/>
      <c r="U351" s="28"/>
      <c r="V351" s="28"/>
      <c r="W351" s="28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8"/>
      <c r="AQ351" s="28"/>
      <c r="AR351" s="28"/>
      <c r="AS351" s="28"/>
      <c r="AT351" s="28"/>
      <c r="AU351" s="28"/>
      <c r="AV351" s="54"/>
      <c r="AW351" s="54"/>
      <c r="AX351" s="54"/>
      <c r="AY351" s="54"/>
      <c r="AZ351" s="25"/>
      <c r="BA351" s="25"/>
      <c r="BB351" s="28"/>
      <c r="BC351" s="28"/>
      <c r="BD351" s="28"/>
      <c r="BE351" s="28"/>
      <c r="BF351" s="25"/>
      <c r="BG351" s="25"/>
      <c r="BH351" s="28"/>
      <c r="BI351" s="28"/>
      <c r="BJ351" s="28"/>
      <c r="BK351" s="28"/>
      <c r="BL351" s="28"/>
      <c r="BM351" s="28"/>
      <c r="BN351" s="6"/>
      <c r="BO351" s="6"/>
      <c r="BP351" s="6"/>
      <c r="BQ351" s="6"/>
    </row>
    <row r="352" spans="1:69" ht="28.8" x14ac:dyDescent="0.3">
      <c r="A352" s="129"/>
      <c r="B352" s="63">
        <v>349</v>
      </c>
      <c r="C352" s="96" t="s">
        <v>838</v>
      </c>
      <c r="D352" s="5" t="s">
        <v>4</v>
      </c>
      <c r="E352" s="5">
        <v>120</v>
      </c>
      <c r="F352" s="15" t="s">
        <v>837</v>
      </c>
      <c r="G352" s="10" t="s">
        <v>858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17">
        <v>2.6</v>
      </c>
      <c r="Y352" s="17">
        <f>X352*E352</f>
        <v>312</v>
      </c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6"/>
      <c r="AQ352" s="6"/>
      <c r="AR352" s="6"/>
      <c r="AS352" s="6"/>
      <c r="AT352" s="6"/>
      <c r="AU352" s="6"/>
      <c r="AV352" s="7"/>
      <c r="AW352" s="7"/>
      <c r="AX352" s="7"/>
      <c r="AY352" s="7"/>
      <c r="AZ352" s="5"/>
      <c r="BA352" s="5"/>
      <c r="BB352" s="6"/>
      <c r="BC352" s="6"/>
      <c r="BD352" s="6"/>
      <c r="BE352" s="6"/>
      <c r="BF352" s="5"/>
      <c r="BG352" s="5"/>
      <c r="BH352" s="6"/>
      <c r="BI352" s="6"/>
      <c r="BJ352" s="6"/>
      <c r="BK352" s="6"/>
      <c r="BL352" s="6"/>
      <c r="BM352" s="6"/>
      <c r="BN352" s="6"/>
      <c r="BO352" s="6"/>
      <c r="BP352" s="6"/>
      <c r="BQ352" s="6"/>
    </row>
    <row r="353" spans="1:69" ht="43.2" x14ac:dyDescent="0.3">
      <c r="A353" s="129"/>
      <c r="B353" s="63">
        <v>350</v>
      </c>
      <c r="C353" s="90" t="s">
        <v>859</v>
      </c>
      <c r="D353" s="5" t="s">
        <v>4</v>
      </c>
      <c r="E353" s="5">
        <v>100</v>
      </c>
      <c r="F353" s="15" t="s">
        <v>860</v>
      </c>
      <c r="G353" s="10" t="s">
        <v>858</v>
      </c>
      <c r="H353" s="6"/>
      <c r="I353" s="6"/>
      <c r="J353" s="6"/>
      <c r="K353" s="6"/>
      <c r="L353" s="6"/>
      <c r="M353" s="6"/>
      <c r="N353" s="17">
        <v>0.55000000000000004</v>
      </c>
      <c r="O353" s="17">
        <f>N353*E353</f>
        <v>55.000000000000007</v>
      </c>
      <c r="P353" s="6"/>
      <c r="Q353" s="6"/>
      <c r="R353" s="6"/>
      <c r="S353" s="6"/>
      <c r="T353" s="6"/>
      <c r="U353" s="6"/>
      <c r="V353" s="6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6"/>
      <c r="AQ353" s="6"/>
      <c r="AR353" s="6"/>
      <c r="AS353" s="6"/>
      <c r="AT353" s="6"/>
      <c r="AU353" s="6"/>
      <c r="AV353" s="7"/>
      <c r="AW353" s="7"/>
      <c r="AX353" s="7"/>
      <c r="AY353" s="7"/>
      <c r="AZ353" s="5"/>
      <c r="BA353" s="5"/>
      <c r="BB353" s="6"/>
      <c r="BC353" s="6"/>
      <c r="BD353" s="6"/>
      <c r="BE353" s="6"/>
      <c r="BF353" s="5"/>
      <c r="BG353" s="5"/>
      <c r="BH353" s="6"/>
      <c r="BI353" s="6"/>
      <c r="BJ353" s="6"/>
      <c r="BK353" s="6"/>
      <c r="BL353" s="6"/>
      <c r="BM353" s="6"/>
      <c r="BN353" s="6"/>
      <c r="BO353" s="6"/>
      <c r="BP353" s="6"/>
      <c r="BQ353" s="6"/>
    </row>
    <row r="354" spans="1:69" ht="41.4" x14ac:dyDescent="0.3">
      <c r="A354" s="129"/>
      <c r="B354" s="63">
        <v>351</v>
      </c>
      <c r="C354" s="57" t="s">
        <v>759</v>
      </c>
      <c r="D354" s="5" t="s">
        <v>4</v>
      </c>
      <c r="E354" s="5">
        <v>35</v>
      </c>
      <c r="F354" s="15" t="s">
        <v>758</v>
      </c>
      <c r="G354" s="10" t="s">
        <v>858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17">
        <v>4.11775</v>
      </c>
      <c r="AI354" s="17">
        <f>AH354*E354</f>
        <v>144.12125</v>
      </c>
      <c r="AJ354" s="5"/>
      <c r="AK354" s="5"/>
      <c r="AL354" s="5"/>
      <c r="AM354" s="5"/>
      <c r="AN354" s="5"/>
      <c r="AO354" s="5"/>
      <c r="AP354" s="6"/>
      <c r="AQ354" s="6"/>
      <c r="AR354" s="6"/>
      <c r="AS354" s="6"/>
      <c r="AT354" s="6"/>
      <c r="AU354" s="6"/>
      <c r="AV354" s="7"/>
      <c r="AW354" s="7"/>
      <c r="AX354" s="7"/>
      <c r="AY354" s="7"/>
      <c r="AZ354" s="5"/>
      <c r="BA354" s="5"/>
      <c r="BB354" s="6"/>
      <c r="BC354" s="6"/>
      <c r="BD354" s="6"/>
      <c r="BE354" s="6"/>
      <c r="BF354" s="5"/>
      <c r="BG354" s="5"/>
      <c r="BH354" s="6"/>
      <c r="BI354" s="6"/>
      <c r="BJ354" s="6"/>
      <c r="BK354" s="6"/>
      <c r="BL354" s="6"/>
      <c r="BM354" s="6"/>
      <c r="BN354" s="6"/>
      <c r="BO354" s="6"/>
      <c r="BP354" s="6"/>
      <c r="BQ354" s="6"/>
    </row>
    <row r="355" spans="1:69" ht="28.8" x14ac:dyDescent="0.3">
      <c r="A355" s="129"/>
      <c r="B355" s="63">
        <v>352</v>
      </c>
      <c r="C355" s="57" t="s">
        <v>762</v>
      </c>
      <c r="D355" s="5" t="s">
        <v>4</v>
      </c>
      <c r="E355" s="5">
        <v>35</v>
      </c>
      <c r="F355" s="15" t="s">
        <v>761</v>
      </c>
      <c r="G355" s="10" t="s">
        <v>858</v>
      </c>
      <c r="H355" s="6"/>
      <c r="I355" s="6"/>
      <c r="J355" s="6"/>
      <c r="K355" s="6"/>
      <c r="L355" s="6"/>
      <c r="M355" s="6"/>
      <c r="N355" s="6"/>
      <c r="O355" s="6"/>
      <c r="P355" s="17">
        <v>2.2200000000000002</v>
      </c>
      <c r="Q355" s="17">
        <f>P355*E355</f>
        <v>77.7</v>
      </c>
      <c r="R355" s="6"/>
      <c r="S355" s="6"/>
      <c r="T355" s="6"/>
      <c r="U355" s="6"/>
      <c r="V355" s="6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6"/>
      <c r="AQ355" s="6"/>
      <c r="AR355" s="6"/>
      <c r="AS355" s="6"/>
      <c r="AT355" s="6"/>
      <c r="AU355" s="6"/>
      <c r="AV355" s="7"/>
      <c r="AW355" s="7"/>
      <c r="AX355" s="7"/>
      <c r="AY355" s="7"/>
      <c r="AZ355" s="5"/>
      <c r="BA355" s="5"/>
      <c r="BB355" s="6"/>
      <c r="BC355" s="6"/>
      <c r="BD355" s="6"/>
      <c r="BE355" s="6"/>
      <c r="BF355" s="5"/>
      <c r="BG355" s="5"/>
      <c r="BH355" s="6"/>
      <c r="BI355" s="6"/>
      <c r="BJ355" s="6"/>
      <c r="BK355" s="6"/>
      <c r="BL355" s="6"/>
      <c r="BM355" s="6"/>
      <c r="BN355" s="6"/>
      <c r="BO355" s="6"/>
      <c r="BP355" s="6"/>
      <c r="BQ355" s="6"/>
    </row>
    <row r="356" spans="1:69" ht="45" x14ac:dyDescent="0.3">
      <c r="A356" s="129"/>
      <c r="B356" s="63">
        <v>353</v>
      </c>
      <c r="C356" s="91" t="s">
        <v>764</v>
      </c>
      <c r="D356" s="5" t="s">
        <v>4</v>
      </c>
      <c r="E356" s="5">
        <v>35</v>
      </c>
      <c r="F356" s="13" t="s">
        <v>763</v>
      </c>
      <c r="G356" s="10" t="s">
        <v>858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6"/>
      <c r="AQ356" s="6"/>
      <c r="AR356" s="6"/>
      <c r="AS356" s="6"/>
      <c r="AT356" s="17">
        <v>23.03</v>
      </c>
      <c r="AU356" s="17">
        <f>AT356*E356</f>
        <v>806.05000000000007</v>
      </c>
      <c r="AV356" s="7"/>
      <c r="AW356" s="7"/>
      <c r="AX356" s="7"/>
      <c r="AY356" s="7"/>
      <c r="AZ356" s="5"/>
      <c r="BA356" s="5"/>
      <c r="BB356" s="6"/>
      <c r="BC356" s="6"/>
      <c r="BD356" s="6"/>
      <c r="BE356" s="6"/>
      <c r="BF356" s="5"/>
      <c r="BG356" s="5"/>
      <c r="BH356" s="6"/>
      <c r="BI356" s="6"/>
      <c r="BJ356" s="6"/>
      <c r="BK356" s="6"/>
      <c r="BL356" s="6"/>
      <c r="BM356" s="6"/>
      <c r="BN356" s="6"/>
      <c r="BO356" s="6"/>
      <c r="BP356" s="6"/>
      <c r="BQ356" s="6"/>
    </row>
    <row r="357" spans="1:69" ht="28.8" x14ac:dyDescent="0.3">
      <c r="A357" s="129"/>
      <c r="B357" s="63">
        <v>354</v>
      </c>
      <c r="C357" s="57" t="s">
        <v>767</v>
      </c>
      <c r="D357" s="5" t="s">
        <v>4</v>
      </c>
      <c r="E357" s="5">
        <v>250</v>
      </c>
      <c r="F357" s="15" t="s">
        <v>765</v>
      </c>
      <c r="G357" s="10" t="s">
        <v>858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17">
        <v>2.02495</v>
      </c>
      <c r="AI357" s="17">
        <f t="shared" ref="AI357:AI364" si="13">AH357*E357</f>
        <v>506.23750000000001</v>
      </c>
      <c r="AJ357" s="5"/>
      <c r="AK357" s="5"/>
      <c r="AL357" s="5"/>
      <c r="AM357" s="5"/>
      <c r="AN357" s="5"/>
      <c r="AO357" s="5"/>
      <c r="AP357" s="6"/>
      <c r="AQ357" s="6"/>
      <c r="AR357" s="6"/>
      <c r="AS357" s="6"/>
      <c r="AT357" s="6"/>
      <c r="AU357" s="6"/>
      <c r="AV357" s="7"/>
      <c r="AW357" s="7"/>
      <c r="AX357" s="7"/>
      <c r="AY357" s="7"/>
      <c r="AZ357" s="5"/>
      <c r="BA357" s="5"/>
      <c r="BB357" s="6"/>
      <c r="BC357" s="6"/>
      <c r="BD357" s="6"/>
      <c r="BE357" s="6"/>
      <c r="BF357" s="5"/>
      <c r="BG357" s="5"/>
      <c r="BH357" s="6"/>
      <c r="BI357" s="6"/>
      <c r="BJ357" s="6"/>
      <c r="BK357" s="6"/>
      <c r="BL357" s="6"/>
      <c r="BM357" s="6"/>
      <c r="BN357" s="6"/>
      <c r="BO357" s="6"/>
      <c r="BP357" s="6"/>
      <c r="BQ357" s="6"/>
    </row>
    <row r="358" spans="1:69" ht="28.8" x14ac:dyDescent="0.3">
      <c r="A358" s="129"/>
      <c r="B358" s="63">
        <v>355</v>
      </c>
      <c r="C358" s="55" t="s">
        <v>768</v>
      </c>
      <c r="D358" s="5" t="s">
        <v>4</v>
      </c>
      <c r="E358" s="5">
        <v>100</v>
      </c>
      <c r="F358" s="15" t="s">
        <v>766</v>
      </c>
      <c r="G358" s="10" t="s">
        <v>858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17">
        <v>0.23777999999999999</v>
      </c>
      <c r="AI358" s="17">
        <f t="shared" si="13"/>
        <v>23.777999999999999</v>
      </c>
      <c r="AJ358" s="5"/>
      <c r="AK358" s="5"/>
      <c r="AL358" s="5"/>
      <c r="AM358" s="5"/>
      <c r="AN358" s="5"/>
      <c r="AO358" s="5"/>
      <c r="AP358" s="6"/>
      <c r="AQ358" s="6"/>
      <c r="AR358" s="6"/>
      <c r="AS358" s="6"/>
      <c r="AT358" s="6"/>
      <c r="AU358" s="6"/>
      <c r="AV358" s="7"/>
      <c r="AW358" s="7"/>
      <c r="AX358" s="7"/>
      <c r="AY358" s="7"/>
      <c r="AZ358" s="5"/>
      <c r="BA358" s="5"/>
      <c r="BB358" s="6"/>
      <c r="BC358" s="6"/>
      <c r="BD358" s="6"/>
      <c r="BE358" s="6"/>
      <c r="BF358" s="5"/>
      <c r="BG358" s="5"/>
      <c r="BH358" s="6"/>
      <c r="BI358" s="6"/>
      <c r="BJ358" s="6"/>
      <c r="BK358" s="6"/>
      <c r="BL358" s="6"/>
      <c r="BM358" s="6"/>
      <c r="BN358" s="6"/>
      <c r="BO358" s="6"/>
      <c r="BP358" s="6"/>
      <c r="BQ358" s="6"/>
    </row>
    <row r="359" spans="1:69" ht="28.8" x14ac:dyDescent="0.3">
      <c r="A359" s="129"/>
      <c r="B359" s="63">
        <v>356</v>
      </c>
      <c r="C359" s="81" t="s">
        <v>770</v>
      </c>
      <c r="D359" s="5" t="s">
        <v>4</v>
      </c>
      <c r="E359" s="5">
        <v>50</v>
      </c>
      <c r="F359" s="15" t="s">
        <v>769</v>
      </c>
      <c r="G359" s="10" t="s">
        <v>858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17">
        <v>1.6080399999999999</v>
      </c>
      <c r="AI359" s="17">
        <f t="shared" si="13"/>
        <v>80.402000000000001</v>
      </c>
      <c r="AJ359" s="5"/>
      <c r="AK359" s="5"/>
      <c r="AL359" s="5"/>
      <c r="AM359" s="5"/>
      <c r="AN359" s="5"/>
      <c r="AO359" s="5"/>
      <c r="AP359" s="6"/>
      <c r="AQ359" s="6"/>
      <c r="AR359" s="6"/>
      <c r="AS359" s="6"/>
      <c r="AT359" s="6"/>
      <c r="AU359" s="6"/>
      <c r="AV359" s="7"/>
      <c r="AW359" s="7"/>
      <c r="AX359" s="7"/>
      <c r="AY359" s="7"/>
      <c r="AZ359" s="5"/>
      <c r="BA359" s="5"/>
      <c r="BB359" s="6"/>
      <c r="BC359" s="6"/>
      <c r="BD359" s="6"/>
      <c r="BE359" s="6"/>
      <c r="BF359" s="5"/>
      <c r="BG359" s="5"/>
      <c r="BH359" s="6"/>
      <c r="BI359" s="6"/>
      <c r="BJ359" s="6"/>
      <c r="BK359" s="6"/>
      <c r="BL359" s="6"/>
      <c r="BM359" s="6"/>
      <c r="BN359" s="6"/>
      <c r="BO359" s="6"/>
      <c r="BP359" s="6"/>
      <c r="BQ359" s="6"/>
    </row>
    <row r="360" spans="1:69" ht="28.8" x14ac:dyDescent="0.3">
      <c r="A360" s="129"/>
      <c r="B360" s="63">
        <v>357</v>
      </c>
      <c r="C360" s="57" t="s">
        <v>638</v>
      </c>
      <c r="D360" s="5" t="s">
        <v>4</v>
      </c>
      <c r="E360" s="5">
        <v>100</v>
      </c>
      <c r="F360" s="15" t="s">
        <v>297</v>
      </c>
      <c r="G360" s="10" t="s">
        <v>858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17">
        <v>9.7309999999999994E-2</v>
      </c>
      <c r="AI360" s="17">
        <f t="shared" si="13"/>
        <v>9.7309999999999999</v>
      </c>
      <c r="AJ360" s="5"/>
      <c r="AK360" s="5"/>
      <c r="AL360" s="5"/>
      <c r="AM360" s="5"/>
      <c r="AN360" s="5"/>
      <c r="AO360" s="5"/>
      <c r="AP360" s="6"/>
      <c r="AQ360" s="6"/>
      <c r="AR360" s="6"/>
      <c r="AS360" s="6"/>
      <c r="AT360" s="6"/>
      <c r="AU360" s="6"/>
      <c r="AV360" s="7"/>
      <c r="AW360" s="7"/>
      <c r="AX360" s="7"/>
      <c r="AY360" s="7"/>
      <c r="AZ360" s="5"/>
      <c r="BA360" s="5"/>
      <c r="BB360" s="6"/>
      <c r="BC360" s="6"/>
      <c r="BD360" s="6"/>
      <c r="BE360" s="6"/>
      <c r="BF360" s="5"/>
      <c r="BG360" s="5"/>
      <c r="BH360" s="6"/>
      <c r="BI360" s="6"/>
      <c r="BJ360" s="6"/>
      <c r="BK360" s="6"/>
      <c r="BL360" s="6"/>
      <c r="BM360" s="6"/>
      <c r="BN360" s="6"/>
      <c r="BO360" s="6"/>
      <c r="BP360" s="6"/>
      <c r="BQ360" s="6"/>
    </row>
    <row r="361" spans="1:69" ht="28.8" x14ac:dyDescent="0.3">
      <c r="A361" s="129"/>
      <c r="B361" s="63">
        <v>358</v>
      </c>
      <c r="C361" s="81" t="s">
        <v>634</v>
      </c>
      <c r="D361" s="5" t="s">
        <v>4</v>
      </c>
      <c r="E361" s="5">
        <v>100</v>
      </c>
      <c r="F361" s="15" t="s">
        <v>302</v>
      </c>
      <c r="G361" s="10" t="s">
        <v>858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17">
        <v>6.7769999999999997E-2</v>
      </c>
      <c r="AI361" s="17">
        <f t="shared" si="13"/>
        <v>6.7769999999999992</v>
      </c>
      <c r="AJ361" s="5"/>
      <c r="AK361" s="5"/>
      <c r="AL361" s="5"/>
      <c r="AM361" s="5"/>
      <c r="AN361" s="5"/>
      <c r="AO361" s="5"/>
      <c r="AP361" s="6"/>
      <c r="AQ361" s="6"/>
      <c r="AR361" s="6"/>
      <c r="AS361" s="6"/>
      <c r="AT361" s="6"/>
      <c r="AU361" s="6"/>
      <c r="AV361" s="7"/>
      <c r="AW361" s="7"/>
      <c r="AX361" s="7"/>
      <c r="AY361" s="7"/>
      <c r="AZ361" s="5"/>
      <c r="BA361" s="5"/>
      <c r="BB361" s="6"/>
      <c r="BC361" s="6"/>
      <c r="BD361" s="6"/>
      <c r="BE361" s="6"/>
      <c r="BF361" s="5"/>
      <c r="BG361" s="5"/>
      <c r="BH361" s="6"/>
      <c r="BI361" s="6"/>
      <c r="BJ361" s="6"/>
      <c r="BK361" s="6"/>
      <c r="BL361" s="6"/>
      <c r="BM361" s="6"/>
      <c r="BN361" s="6"/>
      <c r="BO361" s="6"/>
      <c r="BP361" s="6"/>
      <c r="BQ361" s="6"/>
    </row>
    <row r="362" spans="1:69" ht="28.8" x14ac:dyDescent="0.3">
      <c r="A362" s="129"/>
      <c r="B362" s="63">
        <v>359</v>
      </c>
      <c r="C362" s="80" t="s">
        <v>772</v>
      </c>
      <c r="D362" s="5" t="s">
        <v>4</v>
      </c>
      <c r="E362" s="5">
        <v>100</v>
      </c>
      <c r="F362" s="15" t="s">
        <v>771</v>
      </c>
      <c r="G362" s="10" t="s">
        <v>858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17">
        <v>8.0839999999999995E-2</v>
      </c>
      <c r="AI362" s="17">
        <f t="shared" si="13"/>
        <v>8.0839999999999996</v>
      </c>
      <c r="AJ362" s="5"/>
      <c r="AK362" s="5"/>
      <c r="AL362" s="5"/>
      <c r="AM362" s="5"/>
      <c r="AN362" s="5"/>
      <c r="AO362" s="5"/>
      <c r="AP362" s="6"/>
      <c r="AQ362" s="6"/>
      <c r="AR362" s="6"/>
      <c r="AS362" s="6"/>
      <c r="AT362" s="6"/>
      <c r="AU362" s="6"/>
      <c r="AV362" s="7"/>
      <c r="AW362" s="7"/>
      <c r="AX362" s="7"/>
      <c r="AY362" s="7"/>
      <c r="AZ362" s="5"/>
      <c r="BA362" s="5"/>
      <c r="BB362" s="6"/>
      <c r="BC362" s="6"/>
      <c r="BD362" s="6"/>
      <c r="BE362" s="6"/>
      <c r="BF362" s="5"/>
      <c r="BG362" s="5"/>
      <c r="BH362" s="6"/>
      <c r="BI362" s="6"/>
      <c r="BJ362" s="6"/>
      <c r="BK362" s="6"/>
      <c r="BL362" s="6"/>
      <c r="BM362" s="6"/>
      <c r="BN362" s="6"/>
      <c r="BO362" s="6"/>
      <c r="BP362" s="6"/>
      <c r="BQ362" s="6"/>
    </row>
    <row r="363" spans="1:69" ht="28.8" x14ac:dyDescent="0.3">
      <c r="A363" s="129"/>
      <c r="B363" s="63">
        <v>360</v>
      </c>
      <c r="C363" s="93" t="s">
        <v>774</v>
      </c>
      <c r="D363" s="5" t="s">
        <v>4</v>
      </c>
      <c r="E363" s="5">
        <v>100</v>
      </c>
      <c r="F363" s="15" t="s">
        <v>773</v>
      </c>
      <c r="G363" s="10" t="s">
        <v>858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17">
        <v>9.7309999999999994E-2</v>
      </c>
      <c r="AI363" s="17">
        <f t="shared" si="13"/>
        <v>9.7309999999999999</v>
      </c>
      <c r="AJ363" s="5"/>
      <c r="AK363" s="5"/>
      <c r="AL363" s="5"/>
      <c r="AM363" s="5"/>
      <c r="AN363" s="5"/>
      <c r="AO363" s="5"/>
      <c r="AP363" s="6"/>
      <c r="AQ363" s="6"/>
      <c r="AR363" s="6"/>
      <c r="AS363" s="6"/>
      <c r="AT363" s="6"/>
      <c r="AU363" s="6"/>
      <c r="AV363" s="7"/>
      <c r="AW363" s="7"/>
      <c r="AX363" s="7"/>
      <c r="AY363" s="7"/>
      <c r="AZ363" s="5"/>
      <c r="BA363" s="5"/>
      <c r="BB363" s="6"/>
      <c r="BC363" s="6"/>
      <c r="BD363" s="6"/>
      <c r="BE363" s="6"/>
      <c r="BF363" s="5"/>
      <c r="BG363" s="5"/>
      <c r="BH363" s="6"/>
      <c r="BI363" s="6"/>
      <c r="BJ363" s="6"/>
      <c r="BK363" s="6"/>
      <c r="BL363" s="6"/>
      <c r="BM363" s="6"/>
      <c r="BN363" s="6"/>
      <c r="BO363" s="6"/>
      <c r="BP363" s="6"/>
      <c r="BQ363" s="6"/>
    </row>
    <row r="364" spans="1:69" ht="28.8" x14ac:dyDescent="0.3">
      <c r="A364" s="129"/>
      <c r="B364" s="63">
        <v>361</v>
      </c>
      <c r="C364" s="55" t="s">
        <v>438</v>
      </c>
      <c r="D364" s="5" t="s">
        <v>4</v>
      </c>
      <c r="E364" s="5">
        <v>100</v>
      </c>
      <c r="F364" s="15" t="s">
        <v>434</v>
      </c>
      <c r="G364" s="10" t="s">
        <v>858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17">
        <v>0.21162</v>
      </c>
      <c r="AI364" s="17">
        <f t="shared" si="13"/>
        <v>21.161999999999999</v>
      </c>
      <c r="AJ364" s="5"/>
      <c r="AK364" s="5"/>
      <c r="AL364" s="5"/>
      <c r="AM364" s="5"/>
      <c r="AN364" s="5"/>
      <c r="AO364" s="5"/>
      <c r="AP364" s="6"/>
      <c r="AQ364" s="6"/>
      <c r="AR364" s="6"/>
      <c r="AS364" s="6"/>
      <c r="AT364" s="6"/>
      <c r="AU364" s="6"/>
      <c r="AV364" s="7"/>
      <c r="AW364" s="7"/>
      <c r="AX364" s="7"/>
      <c r="AY364" s="7"/>
      <c r="AZ364" s="5"/>
      <c r="BA364" s="5"/>
      <c r="BB364" s="6"/>
      <c r="BC364" s="6"/>
      <c r="BD364" s="6"/>
      <c r="BE364" s="6"/>
      <c r="BF364" s="5"/>
      <c r="BG364" s="5"/>
      <c r="BH364" s="6"/>
      <c r="BI364" s="6"/>
      <c r="BJ364" s="6"/>
      <c r="BK364" s="6"/>
      <c r="BL364" s="6"/>
      <c r="BM364" s="6"/>
      <c r="BN364" s="6"/>
      <c r="BO364" s="6"/>
      <c r="BP364" s="6"/>
      <c r="BQ364" s="6"/>
    </row>
    <row r="365" spans="1:69" ht="28.8" x14ac:dyDescent="0.3">
      <c r="A365" s="129"/>
      <c r="B365" s="63">
        <v>362</v>
      </c>
      <c r="C365" s="78" t="s">
        <v>776</v>
      </c>
      <c r="D365" s="5" t="s">
        <v>4</v>
      </c>
      <c r="E365" s="5">
        <v>60</v>
      </c>
      <c r="F365" s="15" t="s">
        <v>775</v>
      </c>
      <c r="G365" s="10" t="s">
        <v>858</v>
      </c>
      <c r="H365" s="6"/>
      <c r="I365" s="6"/>
      <c r="J365" s="6"/>
      <c r="K365" s="6"/>
      <c r="L365" s="6"/>
      <c r="M365" s="6"/>
      <c r="N365" s="6"/>
      <c r="O365" s="6"/>
      <c r="P365" s="17">
        <v>6.72</v>
      </c>
      <c r="Q365" s="17">
        <f>P365*E365</f>
        <v>403.2</v>
      </c>
      <c r="R365" s="6"/>
      <c r="S365" s="6"/>
      <c r="T365" s="6"/>
      <c r="U365" s="6"/>
      <c r="V365" s="6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6"/>
      <c r="AQ365" s="6"/>
      <c r="AR365" s="6"/>
      <c r="AS365" s="6"/>
      <c r="AT365" s="6"/>
      <c r="AU365" s="6"/>
      <c r="AV365" s="7"/>
      <c r="AW365" s="7"/>
      <c r="AX365" s="7"/>
      <c r="AY365" s="7"/>
      <c r="AZ365" s="5"/>
      <c r="BA365" s="5"/>
      <c r="BB365" s="6"/>
      <c r="BC365" s="6"/>
      <c r="BD365" s="6"/>
      <c r="BE365" s="6"/>
      <c r="BF365" s="5"/>
      <c r="BG365" s="5"/>
      <c r="BH365" s="6"/>
      <c r="BI365" s="6"/>
      <c r="BJ365" s="6"/>
      <c r="BK365" s="6"/>
      <c r="BL365" s="6"/>
      <c r="BM365" s="6"/>
      <c r="BN365" s="6"/>
      <c r="BO365" s="6"/>
      <c r="BP365" s="6"/>
      <c r="BQ365" s="6"/>
    </row>
    <row r="366" spans="1:69" ht="28.8" x14ac:dyDescent="0.3">
      <c r="A366" s="129"/>
      <c r="B366" s="63">
        <v>363</v>
      </c>
      <c r="C366" s="55" t="s">
        <v>778</v>
      </c>
      <c r="D366" s="5" t="s">
        <v>4</v>
      </c>
      <c r="E366" s="5">
        <v>35</v>
      </c>
      <c r="F366" s="15" t="s">
        <v>777</v>
      </c>
      <c r="G366" s="10" t="s">
        <v>858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17">
        <v>3.4614799999999999</v>
      </c>
      <c r="AI366" s="17">
        <f>AH366*E366</f>
        <v>121.15179999999999</v>
      </c>
      <c r="AJ366" s="5"/>
      <c r="AK366" s="5"/>
      <c r="AL366" s="5"/>
      <c r="AM366" s="5"/>
      <c r="AN366" s="5"/>
      <c r="AO366" s="5"/>
      <c r="AP366" s="6"/>
      <c r="AQ366" s="6"/>
      <c r="AR366" s="6"/>
      <c r="AS366" s="6"/>
      <c r="AT366" s="6"/>
      <c r="AU366" s="6"/>
      <c r="AV366" s="7"/>
      <c r="AW366" s="7"/>
      <c r="AX366" s="7"/>
      <c r="AY366" s="7"/>
      <c r="AZ366" s="5"/>
      <c r="BA366" s="5"/>
      <c r="BB366" s="6"/>
      <c r="BC366" s="6"/>
      <c r="BD366" s="6"/>
      <c r="BE366" s="6"/>
      <c r="BF366" s="5"/>
      <c r="BG366" s="5"/>
      <c r="BH366" s="6"/>
      <c r="BI366" s="6"/>
      <c r="BJ366" s="6"/>
      <c r="BK366" s="6"/>
      <c r="BL366" s="6"/>
      <c r="BM366" s="6"/>
      <c r="BN366" s="6"/>
      <c r="BO366" s="6"/>
      <c r="BP366" s="6"/>
      <c r="BQ366" s="6"/>
    </row>
    <row r="367" spans="1:69" ht="43.2" x14ac:dyDescent="0.3">
      <c r="A367" s="129"/>
      <c r="B367" s="63">
        <v>364</v>
      </c>
      <c r="C367" s="85" t="s">
        <v>780</v>
      </c>
      <c r="D367" s="5" t="s">
        <v>4</v>
      </c>
      <c r="E367" s="5">
        <v>35</v>
      </c>
      <c r="F367" s="15" t="s">
        <v>779</v>
      </c>
      <c r="G367" s="10" t="s">
        <v>858</v>
      </c>
      <c r="H367" s="6"/>
      <c r="I367" s="6"/>
      <c r="J367" s="6"/>
      <c r="K367" s="6"/>
      <c r="L367" s="6"/>
      <c r="M367" s="6"/>
      <c r="N367" s="17">
        <v>11.59</v>
      </c>
      <c r="O367" s="17">
        <f>N367*E367</f>
        <v>405.65</v>
      </c>
      <c r="P367" s="6"/>
      <c r="Q367" s="6"/>
      <c r="R367" s="6"/>
      <c r="S367" s="6"/>
      <c r="T367" s="6"/>
      <c r="U367" s="6"/>
      <c r="V367" s="6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6"/>
      <c r="AQ367" s="6"/>
      <c r="AR367" s="6"/>
      <c r="AS367" s="6"/>
      <c r="AT367" s="6"/>
      <c r="AU367" s="6"/>
      <c r="AV367" s="7"/>
      <c r="AW367" s="7"/>
      <c r="AX367" s="7"/>
      <c r="AY367" s="7"/>
      <c r="AZ367" s="5"/>
      <c r="BA367" s="5"/>
      <c r="BB367" s="6"/>
      <c r="BC367" s="6"/>
      <c r="BD367" s="6"/>
      <c r="BE367" s="6"/>
      <c r="BF367" s="5"/>
      <c r="BG367" s="5"/>
      <c r="BH367" s="6"/>
      <c r="BI367" s="6"/>
      <c r="BJ367" s="6"/>
      <c r="BK367" s="6"/>
      <c r="BL367" s="6"/>
      <c r="BM367" s="6"/>
      <c r="BN367" s="6"/>
      <c r="BO367" s="6"/>
      <c r="BP367" s="6"/>
      <c r="BQ367" s="6"/>
    </row>
    <row r="368" spans="1:69" ht="57.6" x14ac:dyDescent="0.3">
      <c r="A368" s="129"/>
      <c r="B368" s="63">
        <v>365</v>
      </c>
      <c r="C368" s="55" t="s">
        <v>782</v>
      </c>
      <c r="D368" s="5" t="s">
        <v>4</v>
      </c>
      <c r="E368" s="5">
        <v>35</v>
      </c>
      <c r="F368" s="77" t="s">
        <v>781</v>
      </c>
      <c r="G368" s="10" t="s">
        <v>858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6"/>
      <c r="AQ368" s="6"/>
      <c r="AR368" s="6"/>
      <c r="AS368" s="6"/>
      <c r="AT368" s="6"/>
      <c r="AU368" s="6"/>
      <c r="AV368" s="7"/>
      <c r="AW368" s="7"/>
      <c r="AX368" s="7"/>
      <c r="AY368" s="7"/>
      <c r="AZ368" s="5"/>
      <c r="BA368" s="5"/>
      <c r="BB368" s="6"/>
      <c r="BC368" s="6"/>
      <c r="BD368" s="6"/>
      <c r="BE368" s="6"/>
      <c r="BF368" s="5"/>
      <c r="BG368" s="5"/>
      <c r="BH368" s="6"/>
      <c r="BI368" s="6"/>
      <c r="BJ368" s="6"/>
      <c r="BK368" s="6"/>
      <c r="BL368" s="6"/>
      <c r="BM368" s="6"/>
      <c r="BN368" s="6"/>
      <c r="BO368" s="6"/>
      <c r="BP368" s="108">
        <v>1.1499999999999999</v>
      </c>
      <c r="BQ368" s="109">
        <f>(BP368*E368)*I484</f>
        <v>2123.59</v>
      </c>
    </row>
    <row r="369" spans="1:69" ht="28.8" x14ac:dyDescent="0.3">
      <c r="A369" s="129"/>
      <c r="B369" s="63">
        <v>366</v>
      </c>
      <c r="C369" s="57" t="s">
        <v>784</v>
      </c>
      <c r="D369" s="5" t="s">
        <v>4</v>
      </c>
      <c r="E369" s="5">
        <v>50</v>
      </c>
      <c r="F369" s="15" t="s">
        <v>783</v>
      </c>
      <c r="G369" s="10" t="s">
        <v>792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17">
        <v>1.4273800000000001</v>
      </c>
      <c r="AI369" s="17">
        <f>AH369*E369</f>
        <v>71.369</v>
      </c>
      <c r="AJ369" s="5"/>
      <c r="AK369" s="5"/>
      <c r="AL369" s="5"/>
      <c r="AM369" s="5"/>
      <c r="AN369" s="5"/>
      <c r="AO369" s="5"/>
      <c r="AP369" s="6"/>
      <c r="AQ369" s="6"/>
      <c r="AR369" s="6"/>
      <c r="AS369" s="6"/>
      <c r="AT369" s="6"/>
      <c r="AU369" s="6"/>
      <c r="AV369" s="7"/>
      <c r="AW369" s="7"/>
      <c r="AX369" s="7"/>
      <c r="AY369" s="7"/>
      <c r="AZ369" s="5"/>
      <c r="BA369" s="5"/>
      <c r="BB369" s="6"/>
      <c r="BC369" s="6"/>
      <c r="BD369" s="6"/>
      <c r="BE369" s="6"/>
      <c r="BF369" s="5"/>
      <c r="BG369" s="5"/>
      <c r="BH369" s="6"/>
      <c r="BI369" s="6"/>
      <c r="BJ369" s="6"/>
      <c r="BK369" s="6"/>
      <c r="BL369" s="6"/>
      <c r="BM369" s="6"/>
      <c r="BN369" s="6"/>
      <c r="BO369" s="6"/>
      <c r="BP369" s="6"/>
      <c r="BQ369" s="6"/>
    </row>
    <row r="370" spans="1:69" ht="28.8" x14ac:dyDescent="0.3">
      <c r="A370" s="129"/>
      <c r="B370" s="63">
        <v>367</v>
      </c>
      <c r="C370" s="55" t="s">
        <v>785</v>
      </c>
      <c r="D370" s="5" t="s">
        <v>4</v>
      </c>
      <c r="E370" s="5">
        <v>50</v>
      </c>
      <c r="F370" s="15" t="s">
        <v>746</v>
      </c>
      <c r="G370" s="10" t="s">
        <v>792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17">
        <v>0.69504999999999995</v>
      </c>
      <c r="AI370" s="17">
        <f>AH370*E370</f>
        <v>34.752499999999998</v>
      </c>
      <c r="AJ370" s="5"/>
      <c r="AK370" s="5"/>
      <c r="AL370" s="5"/>
      <c r="AM370" s="5"/>
      <c r="AN370" s="5"/>
      <c r="AO370" s="5"/>
      <c r="AP370" s="6"/>
      <c r="AQ370" s="6"/>
      <c r="AR370" s="6"/>
      <c r="AS370" s="6"/>
      <c r="AT370" s="6"/>
      <c r="AU370" s="6"/>
      <c r="AV370" s="7"/>
      <c r="AW370" s="7"/>
      <c r="AX370" s="7"/>
      <c r="AY370" s="7"/>
      <c r="AZ370" s="5"/>
      <c r="BA370" s="5"/>
      <c r="BB370" s="6"/>
      <c r="BC370" s="6"/>
      <c r="BD370" s="6"/>
      <c r="BE370" s="6"/>
      <c r="BF370" s="5"/>
      <c r="BG370" s="5"/>
      <c r="BH370" s="6"/>
      <c r="BI370" s="6"/>
      <c r="BJ370" s="6"/>
      <c r="BK370" s="6"/>
      <c r="BL370" s="6"/>
      <c r="BM370" s="6"/>
      <c r="BN370" s="6"/>
      <c r="BO370" s="6"/>
      <c r="BP370" s="6"/>
      <c r="BQ370" s="6"/>
    </row>
    <row r="371" spans="1:69" ht="28.8" x14ac:dyDescent="0.3">
      <c r="A371" s="129"/>
      <c r="B371" s="63">
        <v>368</v>
      </c>
      <c r="C371" s="57" t="s">
        <v>627</v>
      </c>
      <c r="D371" s="5" t="s">
        <v>4</v>
      </c>
      <c r="E371" s="5">
        <v>100</v>
      </c>
      <c r="F371" s="15" t="s">
        <v>310</v>
      </c>
      <c r="G371" s="10" t="s">
        <v>792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17">
        <v>0.12275999999999999</v>
      </c>
      <c r="AI371" s="17">
        <f>AH371*E371</f>
        <v>12.276</v>
      </c>
      <c r="AJ371" s="5"/>
      <c r="AK371" s="5"/>
      <c r="AL371" s="5"/>
      <c r="AM371" s="5"/>
      <c r="AN371" s="5"/>
      <c r="AO371" s="5"/>
      <c r="AP371" s="6"/>
      <c r="AQ371" s="6"/>
      <c r="AR371" s="6"/>
      <c r="AS371" s="6"/>
      <c r="AT371" s="6"/>
      <c r="AU371" s="6"/>
      <c r="AV371" s="7"/>
      <c r="AW371" s="7"/>
      <c r="AX371" s="7"/>
      <c r="AY371" s="7"/>
      <c r="AZ371" s="5"/>
      <c r="BA371" s="5"/>
      <c r="BB371" s="6"/>
      <c r="BC371" s="6"/>
      <c r="BD371" s="6"/>
      <c r="BE371" s="6"/>
      <c r="BF371" s="5"/>
      <c r="BG371" s="5"/>
      <c r="BH371" s="6"/>
      <c r="BI371" s="6"/>
      <c r="BJ371" s="6"/>
      <c r="BK371" s="6"/>
      <c r="BL371" s="6"/>
      <c r="BM371" s="6"/>
      <c r="BN371" s="6"/>
      <c r="BO371" s="6"/>
      <c r="BP371" s="6"/>
      <c r="BQ371" s="6"/>
    </row>
    <row r="372" spans="1:69" ht="28.8" x14ac:dyDescent="0.3">
      <c r="A372" s="129"/>
      <c r="B372" s="63">
        <v>369</v>
      </c>
      <c r="C372" s="55" t="s">
        <v>628</v>
      </c>
      <c r="D372" s="5" t="s">
        <v>4</v>
      </c>
      <c r="E372" s="5">
        <v>100</v>
      </c>
      <c r="F372" s="15" t="s">
        <v>309</v>
      </c>
      <c r="G372" s="10" t="s">
        <v>792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17">
        <v>9.7309999999999994E-2</v>
      </c>
      <c r="AI372" s="17">
        <f>AH372*E372</f>
        <v>9.7309999999999999</v>
      </c>
      <c r="AJ372" s="5"/>
      <c r="AK372" s="5"/>
      <c r="AL372" s="5"/>
      <c r="AM372" s="5"/>
      <c r="AN372" s="5"/>
      <c r="AO372" s="5"/>
      <c r="AP372" s="6"/>
      <c r="AQ372" s="6"/>
      <c r="AR372" s="6"/>
      <c r="AS372" s="6"/>
      <c r="AT372" s="6"/>
      <c r="AU372" s="6"/>
      <c r="AV372" s="7"/>
      <c r="AW372" s="7"/>
      <c r="AX372" s="7"/>
      <c r="AY372" s="7"/>
      <c r="AZ372" s="5"/>
      <c r="BA372" s="5"/>
      <c r="BB372" s="6"/>
      <c r="BC372" s="6"/>
      <c r="BD372" s="6"/>
      <c r="BE372" s="6"/>
      <c r="BF372" s="5"/>
      <c r="BG372" s="5"/>
      <c r="BH372" s="6"/>
      <c r="BI372" s="6"/>
      <c r="BJ372" s="6"/>
      <c r="BK372" s="6"/>
      <c r="BL372" s="6"/>
      <c r="BM372" s="6"/>
      <c r="BN372" s="6"/>
      <c r="BO372" s="6"/>
      <c r="BP372" s="6"/>
      <c r="BQ372" s="6"/>
    </row>
    <row r="373" spans="1:69" ht="43.2" x14ac:dyDescent="0.3">
      <c r="A373" s="129"/>
      <c r="B373" s="63">
        <v>370</v>
      </c>
      <c r="C373" s="107" t="s">
        <v>787</v>
      </c>
      <c r="D373" s="5" t="s">
        <v>4</v>
      </c>
      <c r="E373" s="5">
        <v>3</v>
      </c>
      <c r="F373" s="77" t="s">
        <v>786</v>
      </c>
      <c r="G373" s="10" t="s">
        <v>792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6"/>
      <c r="AQ373" s="6"/>
      <c r="AR373" s="6"/>
      <c r="AS373" s="6"/>
      <c r="AT373" s="6"/>
      <c r="AU373" s="6"/>
      <c r="AV373" s="7"/>
      <c r="AW373" s="7"/>
      <c r="AX373" s="7"/>
      <c r="AY373" s="7"/>
      <c r="AZ373" s="5"/>
      <c r="BA373" s="5"/>
      <c r="BB373" s="6"/>
      <c r="BC373" s="6"/>
      <c r="BD373" s="6"/>
      <c r="BE373" s="6"/>
      <c r="BF373" s="5"/>
      <c r="BG373" s="5"/>
      <c r="BH373" s="6"/>
      <c r="BI373" s="6"/>
      <c r="BJ373" s="6"/>
      <c r="BK373" s="6"/>
      <c r="BL373" s="6"/>
      <c r="BM373" s="6"/>
      <c r="BN373" s="17">
        <v>173.21</v>
      </c>
      <c r="BO373" s="17">
        <f>BN373*E373</f>
        <v>519.63</v>
      </c>
      <c r="BP373" s="6"/>
      <c r="BQ373" s="6"/>
    </row>
    <row r="374" spans="1:69" ht="57.6" x14ac:dyDescent="0.3">
      <c r="A374" s="129"/>
      <c r="B374" s="63">
        <v>371</v>
      </c>
      <c r="C374" s="94" t="s">
        <v>789</v>
      </c>
      <c r="D374" s="5" t="s">
        <v>4</v>
      </c>
      <c r="E374" s="5">
        <v>10</v>
      </c>
      <c r="F374" s="15" t="s">
        <v>788</v>
      </c>
      <c r="G374" s="10" t="s">
        <v>792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6"/>
      <c r="AQ374" s="6"/>
      <c r="AR374" s="17">
        <v>4.51</v>
      </c>
      <c r="AS374" s="17">
        <f>AR374*E374</f>
        <v>45.099999999999994</v>
      </c>
      <c r="AT374" s="6"/>
      <c r="AU374" s="6"/>
      <c r="AV374" s="7"/>
      <c r="AW374" s="7"/>
      <c r="AX374" s="7"/>
      <c r="AY374" s="7"/>
      <c r="AZ374" s="5"/>
      <c r="BA374" s="5"/>
      <c r="BB374" s="6"/>
      <c r="BC374" s="6"/>
      <c r="BD374" s="6"/>
      <c r="BE374" s="6"/>
      <c r="BF374" s="5"/>
      <c r="BG374" s="5"/>
      <c r="BH374" s="6"/>
      <c r="BI374" s="6"/>
      <c r="BJ374" s="6"/>
      <c r="BK374" s="6"/>
      <c r="BL374" s="6"/>
      <c r="BM374" s="6"/>
      <c r="BN374" s="6"/>
      <c r="BO374" s="6"/>
      <c r="BP374" s="6"/>
      <c r="BQ374" s="6"/>
    </row>
    <row r="375" spans="1:69" ht="28.8" x14ac:dyDescent="0.3">
      <c r="A375" s="129"/>
      <c r="B375" s="63">
        <v>372</v>
      </c>
      <c r="C375" s="57" t="s">
        <v>791</v>
      </c>
      <c r="D375" s="5" t="s">
        <v>4</v>
      </c>
      <c r="E375" s="5">
        <v>10</v>
      </c>
      <c r="F375" s="15" t="s">
        <v>790</v>
      </c>
      <c r="G375" s="10" t="s">
        <v>792</v>
      </c>
      <c r="H375" s="6"/>
      <c r="I375" s="6"/>
      <c r="J375" s="6"/>
      <c r="K375" s="6"/>
      <c r="L375" s="6"/>
      <c r="M375" s="6"/>
      <c r="N375" s="6"/>
      <c r="O375" s="6"/>
      <c r="P375" s="17">
        <v>1.08</v>
      </c>
      <c r="Q375" s="17">
        <f>P375*E375</f>
        <v>10.8</v>
      </c>
      <c r="R375" s="6"/>
      <c r="S375" s="6"/>
      <c r="T375" s="6"/>
      <c r="U375" s="6"/>
      <c r="V375" s="6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6"/>
      <c r="AQ375" s="6"/>
      <c r="AR375" s="6"/>
      <c r="AS375" s="6"/>
      <c r="AT375" s="6"/>
      <c r="AU375" s="6"/>
      <c r="AV375" s="7"/>
      <c r="AW375" s="7"/>
      <c r="AX375" s="7"/>
      <c r="AY375" s="7"/>
      <c r="AZ375" s="5"/>
      <c r="BA375" s="5"/>
      <c r="BB375" s="6"/>
      <c r="BC375" s="6"/>
      <c r="BD375" s="6"/>
      <c r="BE375" s="6"/>
      <c r="BF375" s="5"/>
      <c r="BG375" s="5"/>
      <c r="BH375" s="6"/>
      <c r="BI375" s="6"/>
      <c r="BJ375" s="6"/>
      <c r="BK375" s="6"/>
      <c r="BL375" s="6"/>
      <c r="BM375" s="6"/>
      <c r="BN375" s="6"/>
      <c r="BO375" s="6"/>
      <c r="BP375" s="6"/>
      <c r="BQ375" s="6"/>
    </row>
    <row r="376" spans="1:69" ht="28.8" x14ac:dyDescent="0.3">
      <c r="A376" s="129"/>
      <c r="B376" s="63">
        <v>373</v>
      </c>
      <c r="C376" s="92" t="s">
        <v>797</v>
      </c>
      <c r="D376" s="5" t="s">
        <v>4</v>
      </c>
      <c r="E376" s="5">
        <v>20</v>
      </c>
      <c r="F376" s="15" t="s">
        <v>793</v>
      </c>
      <c r="G376" s="10" t="s">
        <v>861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17">
        <v>1.09378</v>
      </c>
      <c r="AI376" s="17">
        <f>AH376*E376</f>
        <v>21.875599999999999</v>
      </c>
      <c r="AJ376" s="5"/>
      <c r="AK376" s="5"/>
      <c r="AL376" s="5"/>
      <c r="AM376" s="5"/>
      <c r="AN376" s="5"/>
      <c r="AO376" s="5"/>
      <c r="AP376" s="6"/>
      <c r="AQ376" s="6"/>
      <c r="AR376" s="6"/>
      <c r="AS376" s="6"/>
      <c r="AT376" s="6"/>
      <c r="AU376" s="6"/>
      <c r="AV376" s="7"/>
      <c r="AW376" s="7"/>
      <c r="AX376" s="7"/>
      <c r="AY376" s="7"/>
      <c r="AZ376" s="5"/>
      <c r="BA376" s="5"/>
      <c r="BB376" s="6"/>
      <c r="BC376" s="6"/>
      <c r="BD376" s="6"/>
      <c r="BE376" s="6"/>
      <c r="BF376" s="5"/>
      <c r="BG376" s="5"/>
      <c r="BH376" s="6"/>
      <c r="BI376" s="6"/>
      <c r="BJ376" s="6"/>
      <c r="BK376" s="6"/>
      <c r="BL376" s="6"/>
      <c r="BM376" s="6"/>
      <c r="BN376" s="6"/>
      <c r="BO376" s="6"/>
      <c r="BP376" s="6"/>
      <c r="BQ376" s="6"/>
    </row>
    <row r="377" spans="1:69" ht="28.8" x14ac:dyDescent="0.3">
      <c r="A377" s="129"/>
      <c r="B377" s="63">
        <v>374</v>
      </c>
      <c r="C377" s="96" t="s">
        <v>795</v>
      </c>
      <c r="D377" s="5" t="s">
        <v>4</v>
      </c>
      <c r="E377" s="5">
        <v>10</v>
      </c>
      <c r="F377" s="15" t="s">
        <v>794</v>
      </c>
      <c r="G377" s="10" t="s">
        <v>861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6"/>
      <c r="AQ377" s="6"/>
      <c r="AR377" s="6"/>
      <c r="AS377" s="6"/>
      <c r="AT377" s="6"/>
      <c r="AU377" s="6"/>
      <c r="AV377" s="7"/>
      <c r="AW377" s="7"/>
      <c r="AX377" s="7"/>
      <c r="AY377" s="7"/>
      <c r="AZ377" s="5"/>
      <c r="BA377" s="5"/>
      <c r="BB377" s="6"/>
      <c r="BC377" s="6"/>
      <c r="BD377" s="17">
        <v>24.33</v>
      </c>
      <c r="BE377" s="17">
        <f>BD377*E377</f>
        <v>243.29999999999998</v>
      </c>
      <c r="BF377" s="5"/>
      <c r="BG377" s="5"/>
      <c r="BH377" s="6"/>
      <c r="BI377" s="6"/>
      <c r="BJ377" s="6"/>
      <c r="BK377" s="6"/>
      <c r="BL377" s="6"/>
      <c r="BM377" s="6"/>
      <c r="BN377" s="6"/>
      <c r="BO377" s="6"/>
      <c r="BP377" s="6"/>
      <c r="BQ377" s="6"/>
    </row>
    <row r="378" spans="1:69" ht="28.8" x14ac:dyDescent="0.3">
      <c r="A378" s="129"/>
      <c r="B378" s="63">
        <v>375</v>
      </c>
      <c r="C378" s="92" t="s">
        <v>798</v>
      </c>
      <c r="D378" s="5" t="s">
        <v>4</v>
      </c>
      <c r="E378" s="5">
        <v>5</v>
      </c>
      <c r="F378" s="15" t="s">
        <v>796</v>
      </c>
      <c r="G378" s="10" t="s">
        <v>861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17">
        <v>5.7066600000000003</v>
      </c>
      <c r="AI378" s="17">
        <f t="shared" ref="AI378:AI385" si="14">AH378*E378</f>
        <v>28.533300000000001</v>
      </c>
      <c r="AJ378" s="5"/>
      <c r="AK378" s="5"/>
      <c r="AL378" s="5"/>
      <c r="AM378" s="5"/>
      <c r="AN378" s="5"/>
      <c r="AO378" s="5"/>
      <c r="AP378" s="6"/>
      <c r="AQ378" s="6"/>
      <c r="AR378" s="6"/>
      <c r="AS378" s="6"/>
      <c r="AT378" s="6"/>
      <c r="AU378" s="6"/>
      <c r="AV378" s="7"/>
      <c r="AW378" s="7"/>
      <c r="AX378" s="7"/>
      <c r="AY378" s="7"/>
      <c r="AZ378" s="5"/>
      <c r="BA378" s="5"/>
      <c r="BB378" s="6"/>
      <c r="BC378" s="6"/>
      <c r="BD378" s="6"/>
      <c r="BE378" s="6"/>
      <c r="BF378" s="5"/>
      <c r="BG378" s="5"/>
      <c r="BH378" s="6"/>
      <c r="BI378" s="6"/>
      <c r="BJ378" s="6"/>
      <c r="BK378" s="6"/>
      <c r="BL378" s="6"/>
      <c r="BM378" s="6"/>
      <c r="BN378" s="6"/>
      <c r="BO378" s="6"/>
      <c r="BP378" s="6"/>
      <c r="BQ378" s="6"/>
    </row>
    <row r="379" spans="1:69" ht="30" x14ac:dyDescent="0.3">
      <c r="A379" s="129"/>
      <c r="B379" s="63">
        <v>376</v>
      </c>
      <c r="C379" s="97" t="s">
        <v>785</v>
      </c>
      <c r="D379" s="5" t="s">
        <v>4</v>
      </c>
      <c r="E379" s="5">
        <v>10</v>
      </c>
      <c r="F379" s="15" t="s">
        <v>783</v>
      </c>
      <c r="G379" s="10" t="s">
        <v>861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17">
        <v>1.4273800000000001</v>
      </c>
      <c r="AI379" s="17">
        <f t="shared" si="14"/>
        <v>14.273800000000001</v>
      </c>
      <c r="AJ379" s="5"/>
      <c r="AK379" s="5"/>
      <c r="AL379" s="5"/>
      <c r="AM379" s="5"/>
      <c r="AN379" s="5"/>
      <c r="AO379" s="5"/>
      <c r="AP379" s="6"/>
      <c r="AQ379" s="6"/>
      <c r="AR379" s="6"/>
      <c r="AS379" s="6"/>
      <c r="AT379" s="6"/>
      <c r="AU379" s="6"/>
      <c r="AV379" s="7"/>
      <c r="AW379" s="7"/>
      <c r="AX379" s="7"/>
      <c r="AY379" s="7"/>
      <c r="AZ379" s="5"/>
      <c r="BA379" s="5"/>
      <c r="BB379" s="6"/>
      <c r="BC379" s="6"/>
      <c r="BD379" s="6"/>
      <c r="BE379" s="6"/>
      <c r="BF379" s="5"/>
      <c r="BG379" s="5"/>
      <c r="BH379" s="6"/>
      <c r="BI379" s="6"/>
      <c r="BJ379" s="6"/>
      <c r="BK379" s="6"/>
      <c r="BL379" s="6"/>
      <c r="BM379" s="6"/>
      <c r="BN379" s="6"/>
      <c r="BO379" s="6"/>
      <c r="BP379" s="6"/>
      <c r="BQ379" s="6"/>
    </row>
    <row r="380" spans="1:69" ht="28.8" x14ac:dyDescent="0.3">
      <c r="A380" s="129"/>
      <c r="B380" s="63">
        <v>377</v>
      </c>
      <c r="C380" s="92" t="s">
        <v>784</v>
      </c>
      <c r="D380" s="5" t="s">
        <v>4</v>
      </c>
      <c r="E380" s="5">
        <v>20</v>
      </c>
      <c r="F380" s="15" t="s">
        <v>793</v>
      </c>
      <c r="G380" s="10" t="s">
        <v>861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17">
        <v>1.09378</v>
      </c>
      <c r="AI380" s="17">
        <f t="shared" si="14"/>
        <v>21.875599999999999</v>
      </c>
      <c r="AJ380" s="5"/>
      <c r="AK380" s="5"/>
      <c r="AL380" s="5"/>
      <c r="AM380" s="5"/>
      <c r="AN380" s="5"/>
      <c r="AO380" s="5"/>
      <c r="AP380" s="6"/>
      <c r="AQ380" s="6"/>
      <c r="AR380" s="6"/>
      <c r="AS380" s="6"/>
      <c r="AT380" s="6"/>
      <c r="AU380" s="6"/>
      <c r="AV380" s="7"/>
      <c r="AW380" s="7"/>
      <c r="AX380" s="7"/>
      <c r="AY380" s="7"/>
      <c r="AZ380" s="5"/>
      <c r="BA380" s="5"/>
      <c r="BB380" s="6"/>
      <c r="BC380" s="6"/>
      <c r="BD380" s="6"/>
      <c r="BE380" s="6"/>
      <c r="BF380" s="5"/>
      <c r="BG380" s="5"/>
      <c r="BH380" s="6"/>
      <c r="BI380" s="6"/>
      <c r="BJ380" s="6"/>
      <c r="BK380" s="6"/>
      <c r="BL380" s="6"/>
      <c r="BM380" s="6"/>
      <c r="BN380" s="6"/>
      <c r="BO380" s="6"/>
      <c r="BP380" s="6"/>
      <c r="BQ380" s="6"/>
    </row>
    <row r="381" spans="1:69" ht="47.4" customHeight="1" x14ac:dyDescent="0.3">
      <c r="A381" s="129"/>
      <c r="B381" s="63">
        <v>378</v>
      </c>
      <c r="C381" s="81" t="s">
        <v>800</v>
      </c>
      <c r="D381" s="5" t="s">
        <v>4</v>
      </c>
      <c r="E381" s="5">
        <v>5</v>
      </c>
      <c r="F381" s="15" t="s">
        <v>799</v>
      </c>
      <c r="G381" s="10" t="s">
        <v>861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17">
        <v>0.82262999999999997</v>
      </c>
      <c r="AI381" s="17">
        <f t="shared" si="14"/>
        <v>4.1131500000000001</v>
      </c>
      <c r="AJ381" s="5"/>
      <c r="AK381" s="5"/>
      <c r="AL381" s="5"/>
      <c r="AM381" s="5"/>
      <c r="AN381" s="5"/>
      <c r="AO381" s="5"/>
      <c r="AP381" s="6"/>
      <c r="AQ381" s="6"/>
      <c r="AR381" s="6"/>
      <c r="AS381" s="6"/>
      <c r="AT381" s="6"/>
      <c r="AU381" s="6"/>
      <c r="AV381" s="7"/>
      <c r="AW381" s="7"/>
      <c r="AX381" s="7"/>
      <c r="AY381" s="7"/>
      <c r="AZ381" s="5"/>
      <c r="BA381" s="5"/>
      <c r="BB381" s="6"/>
      <c r="BC381" s="6"/>
      <c r="BD381" s="6"/>
      <c r="BE381" s="6"/>
      <c r="BF381" s="5"/>
      <c r="BG381" s="5"/>
      <c r="BH381" s="6"/>
      <c r="BI381" s="6"/>
      <c r="BJ381" s="6"/>
      <c r="BK381" s="6"/>
      <c r="BL381" s="6"/>
      <c r="BM381" s="6"/>
      <c r="BN381" s="6"/>
      <c r="BO381" s="6"/>
      <c r="BP381" s="6"/>
      <c r="BQ381" s="6"/>
    </row>
    <row r="382" spans="1:69" ht="42" x14ac:dyDescent="0.3">
      <c r="A382" s="129"/>
      <c r="B382" s="63">
        <v>379</v>
      </c>
      <c r="C382" s="92" t="s">
        <v>802</v>
      </c>
      <c r="D382" s="5" t="s">
        <v>4</v>
      </c>
      <c r="E382" s="5">
        <v>20</v>
      </c>
      <c r="F382" s="15" t="s">
        <v>801</v>
      </c>
      <c r="G382" s="10" t="s">
        <v>861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17">
        <v>0.39732000000000001</v>
      </c>
      <c r="AI382" s="17">
        <f t="shared" si="14"/>
        <v>7.9464000000000006</v>
      </c>
      <c r="AJ382" s="5"/>
      <c r="AK382" s="5"/>
      <c r="AL382" s="5"/>
      <c r="AM382" s="5"/>
      <c r="AN382" s="5"/>
      <c r="AO382" s="5"/>
      <c r="AP382" s="6"/>
      <c r="AQ382" s="6"/>
      <c r="AR382" s="6"/>
      <c r="AS382" s="6"/>
      <c r="AT382" s="6"/>
      <c r="AU382" s="6"/>
      <c r="AV382" s="7"/>
      <c r="AW382" s="7"/>
      <c r="AX382" s="7"/>
      <c r="AY382" s="7"/>
      <c r="AZ382" s="5"/>
      <c r="BA382" s="5"/>
      <c r="BB382" s="6"/>
      <c r="BC382" s="6"/>
      <c r="BD382" s="6"/>
      <c r="BE382" s="6"/>
      <c r="BF382" s="5"/>
      <c r="BG382" s="5"/>
      <c r="BH382" s="6"/>
      <c r="BI382" s="6"/>
      <c r="BJ382" s="6"/>
      <c r="BK382" s="6"/>
      <c r="BL382" s="6"/>
      <c r="BM382" s="6"/>
      <c r="BN382" s="6"/>
      <c r="BO382" s="6"/>
      <c r="BP382" s="6"/>
      <c r="BQ382" s="6"/>
    </row>
    <row r="383" spans="1:69" ht="28.8" x14ac:dyDescent="0.3">
      <c r="A383" s="129"/>
      <c r="B383" s="63">
        <v>380</v>
      </c>
      <c r="C383" s="93" t="s">
        <v>804</v>
      </c>
      <c r="D383" s="5" t="s">
        <v>4</v>
      </c>
      <c r="E383" s="5">
        <v>10</v>
      </c>
      <c r="F383" s="15" t="s">
        <v>803</v>
      </c>
      <c r="G383" s="10" t="s">
        <v>861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17">
        <v>0.70484000000000002</v>
      </c>
      <c r="AI383" s="17">
        <f t="shared" si="14"/>
        <v>7.0484</v>
      </c>
      <c r="AJ383" s="5"/>
      <c r="AK383" s="5"/>
      <c r="AL383" s="5"/>
      <c r="AM383" s="5"/>
      <c r="AN383" s="5"/>
      <c r="AO383" s="5"/>
      <c r="AP383" s="6"/>
      <c r="AQ383" s="6"/>
      <c r="AR383" s="6"/>
      <c r="AS383" s="6"/>
      <c r="AT383" s="6"/>
      <c r="AU383" s="6"/>
      <c r="AV383" s="7"/>
      <c r="AW383" s="7"/>
      <c r="AX383" s="7"/>
      <c r="AY383" s="7"/>
      <c r="AZ383" s="5"/>
      <c r="BA383" s="5"/>
      <c r="BB383" s="6"/>
      <c r="BC383" s="6"/>
      <c r="BD383" s="6"/>
      <c r="BE383" s="6"/>
      <c r="BF383" s="5"/>
      <c r="BG383" s="5"/>
      <c r="BH383" s="6"/>
      <c r="BI383" s="6"/>
      <c r="BJ383" s="6"/>
      <c r="BK383" s="6"/>
      <c r="BL383" s="6"/>
      <c r="BM383" s="6"/>
      <c r="BN383" s="6"/>
      <c r="BO383" s="6"/>
      <c r="BP383" s="6"/>
      <c r="BQ383" s="6"/>
    </row>
    <row r="384" spans="1:69" ht="28.8" x14ac:dyDescent="0.3">
      <c r="A384" s="129"/>
      <c r="B384" s="63">
        <v>381</v>
      </c>
      <c r="C384" s="55" t="s">
        <v>806</v>
      </c>
      <c r="D384" s="5" t="s">
        <v>4</v>
      </c>
      <c r="E384" s="5">
        <v>5</v>
      </c>
      <c r="F384" s="15" t="s">
        <v>805</v>
      </c>
      <c r="G384" s="10" t="s">
        <v>861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17">
        <v>6.5643200000000004</v>
      </c>
      <c r="AI384" s="17">
        <f t="shared" si="14"/>
        <v>32.821600000000004</v>
      </c>
      <c r="AJ384" s="5"/>
      <c r="AK384" s="5"/>
      <c r="AL384" s="5"/>
      <c r="AM384" s="5"/>
      <c r="AN384" s="5"/>
      <c r="AO384" s="5"/>
      <c r="AP384" s="6"/>
      <c r="AQ384" s="6"/>
      <c r="AR384" s="6"/>
      <c r="AS384" s="6"/>
      <c r="AT384" s="6"/>
      <c r="AU384" s="6"/>
      <c r="AV384" s="7"/>
      <c r="AW384" s="7"/>
      <c r="AX384" s="7"/>
      <c r="AY384" s="7"/>
      <c r="AZ384" s="5"/>
      <c r="BA384" s="5"/>
      <c r="BB384" s="6"/>
      <c r="BC384" s="6"/>
      <c r="BD384" s="6"/>
      <c r="BE384" s="6"/>
      <c r="BF384" s="5"/>
      <c r="BG384" s="5"/>
      <c r="BH384" s="6"/>
      <c r="BI384" s="6"/>
      <c r="BJ384" s="6"/>
      <c r="BK384" s="6"/>
      <c r="BL384" s="6"/>
      <c r="BM384" s="6"/>
      <c r="BN384" s="6"/>
      <c r="BO384" s="6"/>
      <c r="BP384" s="6"/>
      <c r="BQ384" s="6"/>
    </row>
    <row r="385" spans="1:69" ht="41.4" x14ac:dyDescent="0.3">
      <c r="A385" s="129"/>
      <c r="B385" s="63">
        <v>382</v>
      </c>
      <c r="C385" s="81" t="s">
        <v>808</v>
      </c>
      <c r="D385" s="5" t="s">
        <v>4</v>
      </c>
      <c r="E385" s="5">
        <v>4</v>
      </c>
      <c r="F385" s="15" t="s">
        <v>807</v>
      </c>
      <c r="G385" s="10" t="s">
        <v>861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17">
        <v>8.8263200000000008</v>
      </c>
      <c r="AI385" s="17">
        <f t="shared" si="14"/>
        <v>35.305280000000003</v>
      </c>
      <c r="AJ385" s="5"/>
      <c r="AK385" s="5"/>
      <c r="AL385" s="5"/>
      <c r="AM385" s="5"/>
      <c r="AN385" s="5"/>
      <c r="AO385" s="5"/>
      <c r="AP385" s="6"/>
      <c r="AQ385" s="6"/>
      <c r="AR385" s="6"/>
      <c r="AS385" s="6"/>
      <c r="AT385" s="6"/>
      <c r="AU385" s="6"/>
      <c r="AV385" s="7"/>
      <c r="AW385" s="7"/>
      <c r="AX385" s="7"/>
      <c r="AY385" s="7"/>
      <c r="AZ385" s="5"/>
      <c r="BA385" s="5"/>
      <c r="BB385" s="6"/>
      <c r="BC385" s="6"/>
      <c r="BD385" s="6"/>
      <c r="BE385" s="6"/>
      <c r="BF385" s="5"/>
      <c r="BG385" s="5"/>
      <c r="BH385" s="6"/>
      <c r="BI385" s="6"/>
      <c r="BJ385" s="6"/>
      <c r="BK385" s="6"/>
      <c r="BL385" s="6"/>
      <c r="BM385" s="6"/>
      <c r="BN385" s="6"/>
      <c r="BO385" s="6"/>
      <c r="BP385" s="6"/>
      <c r="BQ385" s="6"/>
    </row>
    <row r="386" spans="1:69" ht="57.6" x14ac:dyDescent="0.3">
      <c r="A386" s="129"/>
      <c r="B386" s="63">
        <v>383</v>
      </c>
      <c r="C386" s="57" t="s">
        <v>810</v>
      </c>
      <c r="D386" s="5" t="s">
        <v>4</v>
      </c>
      <c r="E386" s="5">
        <v>2</v>
      </c>
      <c r="F386" s="15" t="s">
        <v>809</v>
      </c>
      <c r="G386" s="10" t="s">
        <v>861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6"/>
      <c r="AQ386" s="6"/>
      <c r="AR386" s="6"/>
      <c r="AS386" s="6"/>
      <c r="AT386" s="6"/>
      <c r="AU386" s="6"/>
      <c r="AV386" s="7"/>
      <c r="AW386" s="7"/>
      <c r="AX386" s="103">
        <v>110.83</v>
      </c>
      <c r="AY386" s="103">
        <f>AX386*E386</f>
        <v>221.66</v>
      </c>
      <c r="AZ386" s="5"/>
      <c r="BA386" s="5"/>
      <c r="BB386" s="6"/>
      <c r="BC386" s="6"/>
      <c r="BD386" s="6"/>
      <c r="BE386" s="6"/>
      <c r="BF386" s="5"/>
      <c r="BG386" s="5"/>
      <c r="BH386" s="6"/>
      <c r="BI386" s="6"/>
      <c r="BJ386" s="6"/>
      <c r="BK386" s="6"/>
      <c r="BL386" s="6"/>
      <c r="BM386" s="6"/>
      <c r="BN386" s="6"/>
      <c r="BO386" s="6"/>
      <c r="BP386" s="6"/>
      <c r="BQ386" s="6"/>
    </row>
    <row r="387" spans="1:69" ht="28.8" customHeight="1" x14ac:dyDescent="0.3">
      <c r="A387" s="129"/>
      <c r="B387" s="63">
        <v>384</v>
      </c>
      <c r="C387" s="98" t="s">
        <v>812</v>
      </c>
      <c r="D387" s="5" t="s">
        <v>4</v>
      </c>
      <c r="E387" s="5">
        <v>5</v>
      </c>
      <c r="F387" s="15" t="s">
        <v>811</v>
      </c>
      <c r="G387" s="10" t="s">
        <v>861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6"/>
      <c r="AQ387" s="6"/>
      <c r="AR387" s="6"/>
      <c r="AS387" s="6"/>
      <c r="AT387" s="6"/>
      <c r="AU387" s="6"/>
      <c r="AV387" s="7"/>
      <c r="AW387" s="7"/>
      <c r="AX387" s="103">
        <v>35.14</v>
      </c>
      <c r="AY387" s="103">
        <f>AX387*E387</f>
        <v>175.7</v>
      </c>
      <c r="AZ387" s="5"/>
      <c r="BA387" s="5"/>
      <c r="BB387" s="6"/>
      <c r="BC387" s="6"/>
      <c r="BD387" s="6"/>
      <c r="BE387" s="6"/>
      <c r="BF387" s="5"/>
      <c r="BG387" s="5"/>
      <c r="BH387" s="6"/>
      <c r="BI387" s="6"/>
      <c r="BJ387" s="6"/>
      <c r="BK387" s="6"/>
      <c r="BL387" s="6"/>
      <c r="BM387" s="6"/>
      <c r="BN387" s="6"/>
      <c r="BO387" s="6"/>
      <c r="BP387" s="6"/>
      <c r="BQ387" s="6"/>
    </row>
    <row r="388" spans="1:69" ht="57.6" x14ac:dyDescent="0.3">
      <c r="A388" s="129"/>
      <c r="B388" s="63">
        <v>385</v>
      </c>
      <c r="C388" s="99" t="s">
        <v>814</v>
      </c>
      <c r="D388" s="5" t="s">
        <v>4</v>
      </c>
      <c r="E388" s="5">
        <v>2</v>
      </c>
      <c r="F388" s="15" t="s">
        <v>813</v>
      </c>
      <c r="G388" s="10" t="s">
        <v>861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6"/>
      <c r="AQ388" s="6"/>
      <c r="AR388" s="6"/>
      <c r="AS388" s="6"/>
      <c r="AT388" s="6"/>
      <c r="AU388" s="6"/>
      <c r="AV388" s="7"/>
      <c r="AW388" s="7"/>
      <c r="AX388" s="103">
        <v>33.729999999999997</v>
      </c>
      <c r="AY388" s="103">
        <f>AX388*E388</f>
        <v>67.459999999999994</v>
      </c>
      <c r="AZ388" s="5"/>
      <c r="BA388" s="5"/>
      <c r="BB388" s="6"/>
      <c r="BC388" s="6"/>
      <c r="BD388" s="6"/>
      <c r="BE388" s="6"/>
      <c r="BF388" s="5"/>
      <c r="BG388" s="5"/>
      <c r="BH388" s="6"/>
      <c r="BI388" s="6"/>
      <c r="BJ388" s="6"/>
      <c r="BK388" s="6"/>
      <c r="BL388" s="6"/>
      <c r="BM388" s="6"/>
      <c r="BN388" s="6"/>
      <c r="BO388" s="6"/>
      <c r="BP388" s="6"/>
      <c r="BQ388" s="6"/>
    </row>
    <row r="389" spans="1:69" ht="28.8" x14ac:dyDescent="0.3">
      <c r="A389" s="129"/>
      <c r="B389" s="63">
        <v>386</v>
      </c>
      <c r="C389" s="92" t="s">
        <v>816</v>
      </c>
      <c r="D389" s="5" t="s">
        <v>4</v>
      </c>
      <c r="E389" s="5">
        <v>100</v>
      </c>
      <c r="F389" s="15" t="s">
        <v>815</v>
      </c>
      <c r="G389" s="10" t="s">
        <v>861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17">
        <v>0.15847</v>
      </c>
      <c r="AI389" s="17">
        <f t="shared" ref="AI389:AI395" si="15">AH389*E389</f>
        <v>15.847</v>
      </c>
      <c r="AJ389" s="5"/>
      <c r="AK389" s="5"/>
      <c r="AL389" s="5"/>
      <c r="AM389" s="5"/>
      <c r="AN389" s="5"/>
      <c r="AO389" s="5"/>
      <c r="AP389" s="6"/>
      <c r="AQ389" s="6"/>
      <c r="AR389" s="6"/>
      <c r="AS389" s="6"/>
      <c r="AT389" s="6"/>
      <c r="AU389" s="6"/>
      <c r="AV389" s="7"/>
      <c r="AW389" s="7"/>
      <c r="AX389" s="7"/>
      <c r="AY389" s="7"/>
      <c r="AZ389" s="5"/>
      <c r="BA389" s="5"/>
      <c r="BB389" s="6"/>
      <c r="BC389" s="6"/>
      <c r="BD389" s="6"/>
      <c r="BE389" s="6"/>
      <c r="BF389" s="5"/>
      <c r="BG389" s="5"/>
      <c r="BH389" s="6"/>
      <c r="BI389" s="6"/>
      <c r="BJ389" s="6"/>
      <c r="BK389" s="6"/>
      <c r="BL389" s="6"/>
      <c r="BM389" s="6"/>
      <c r="BN389" s="6"/>
      <c r="BO389" s="6"/>
      <c r="BP389" s="6"/>
      <c r="BQ389" s="6"/>
    </row>
    <row r="390" spans="1:69" ht="28.8" x14ac:dyDescent="0.3">
      <c r="A390" s="129"/>
      <c r="B390" s="63">
        <v>387</v>
      </c>
      <c r="C390" s="93" t="s">
        <v>634</v>
      </c>
      <c r="D390" s="5" t="s">
        <v>4</v>
      </c>
      <c r="E390" s="5">
        <v>100</v>
      </c>
      <c r="F390" s="15" t="s">
        <v>302</v>
      </c>
      <c r="G390" s="10" t="s">
        <v>861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17">
        <v>6.7769999999999997E-2</v>
      </c>
      <c r="AI390" s="17">
        <f t="shared" si="15"/>
        <v>6.7769999999999992</v>
      </c>
      <c r="AJ390" s="5"/>
      <c r="AK390" s="5"/>
      <c r="AL390" s="5"/>
      <c r="AM390" s="5"/>
      <c r="AN390" s="5"/>
      <c r="AO390" s="5"/>
      <c r="AP390" s="6"/>
      <c r="AQ390" s="6"/>
      <c r="AR390" s="6"/>
      <c r="AS390" s="6"/>
      <c r="AT390" s="6"/>
      <c r="AU390" s="6"/>
      <c r="AV390" s="7"/>
      <c r="AW390" s="7"/>
      <c r="AX390" s="7"/>
      <c r="AY390" s="7"/>
      <c r="AZ390" s="5"/>
      <c r="BA390" s="5"/>
      <c r="BB390" s="6"/>
      <c r="BC390" s="6"/>
      <c r="BD390" s="6"/>
      <c r="BE390" s="6"/>
      <c r="BF390" s="5"/>
      <c r="BG390" s="5"/>
      <c r="BH390" s="6"/>
      <c r="BI390" s="6"/>
      <c r="BJ390" s="6"/>
      <c r="BK390" s="6"/>
      <c r="BL390" s="6"/>
      <c r="BM390" s="6"/>
      <c r="BN390" s="6"/>
      <c r="BO390" s="6"/>
      <c r="BP390" s="6"/>
      <c r="BQ390" s="6"/>
    </row>
    <row r="391" spans="1:69" ht="28.8" x14ac:dyDescent="0.3">
      <c r="A391" s="129"/>
      <c r="B391" s="63">
        <v>388</v>
      </c>
      <c r="C391" s="92" t="s">
        <v>818</v>
      </c>
      <c r="D391" s="5" t="s">
        <v>4</v>
      </c>
      <c r="E391" s="5">
        <v>100</v>
      </c>
      <c r="F391" s="15" t="s">
        <v>817</v>
      </c>
      <c r="G391" s="10" t="s">
        <v>861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17">
        <v>5.944E-2</v>
      </c>
      <c r="AI391" s="17">
        <f t="shared" si="15"/>
        <v>5.944</v>
      </c>
      <c r="AJ391" s="5"/>
      <c r="AK391" s="5"/>
      <c r="AL391" s="5"/>
      <c r="AM391" s="5"/>
      <c r="AN391" s="5"/>
      <c r="AO391" s="5"/>
      <c r="AP391" s="6"/>
      <c r="AQ391" s="6"/>
      <c r="AR391" s="6"/>
      <c r="AS391" s="6"/>
      <c r="AT391" s="6"/>
      <c r="AU391" s="6"/>
      <c r="AV391" s="7"/>
      <c r="AW391" s="7"/>
      <c r="AX391" s="7"/>
      <c r="AY391" s="7"/>
      <c r="AZ391" s="5"/>
      <c r="BA391" s="5"/>
      <c r="BB391" s="6"/>
      <c r="BC391" s="6"/>
      <c r="BD391" s="6"/>
      <c r="BE391" s="6"/>
      <c r="BF391" s="5"/>
      <c r="BG391" s="5"/>
      <c r="BH391" s="6"/>
      <c r="BI391" s="6"/>
      <c r="BJ391" s="6"/>
      <c r="BK391" s="6"/>
      <c r="BL391" s="6"/>
      <c r="BM391" s="6"/>
      <c r="BN391" s="6"/>
      <c r="BO391" s="6"/>
      <c r="BP391" s="6"/>
      <c r="BQ391" s="6"/>
    </row>
    <row r="392" spans="1:69" ht="28.8" x14ac:dyDescent="0.3">
      <c r="A392" s="129"/>
      <c r="B392" s="63">
        <v>389</v>
      </c>
      <c r="C392" s="93" t="s">
        <v>820</v>
      </c>
      <c r="D392" s="5" t="s">
        <v>4</v>
      </c>
      <c r="E392" s="5">
        <v>100</v>
      </c>
      <c r="F392" s="15" t="s">
        <v>819</v>
      </c>
      <c r="G392" s="10" t="s">
        <v>861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17">
        <v>9.7309999999999994E-2</v>
      </c>
      <c r="AI392" s="17">
        <f t="shared" si="15"/>
        <v>9.7309999999999999</v>
      </c>
      <c r="AJ392" s="5"/>
      <c r="AK392" s="5"/>
      <c r="AL392" s="5"/>
      <c r="AM392" s="5"/>
      <c r="AN392" s="5"/>
      <c r="AO392" s="5"/>
      <c r="AP392" s="6"/>
      <c r="AQ392" s="6"/>
      <c r="AR392" s="6"/>
      <c r="AS392" s="6"/>
      <c r="AT392" s="6"/>
      <c r="AU392" s="6"/>
      <c r="AV392" s="7"/>
      <c r="AW392" s="7"/>
      <c r="AX392" s="7"/>
      <c r="AY392" s="7"/>
      <c r="AZ392" s="5"/>
      <c r="BA392" s="5"/>
      <c r="BB392" s="6"/>
      <c r="BC392" s="6"/>
      <c r="BD392" s="6"/>
      <c r="BE392" s="6"/>
      <c r="BF392" s="5"/>
      <c r="BG392" s="5"/>
      <c r="BH392" s="6"/>
      <c r="BI392" s="6"/>
      <c r="BJ392" s="6"/>
      <c r="BK392" s="6"/>
      <c r="BL392" s="6"/>
      <c r="BM392" s="6"/>
      <c r="BN392" s="6"/>
      <c r="BO392" s="6"/>
      <c r="BP392" s="6"/>
      <c r="BQ392" s="6"/>
    </row>
    <row r="393" spans="1:69" ht="28.8" x14ac:dyDescent="0.3">
      <c r="A393" s="129"/>
      <c r="B393" s="63">
        <v>390</v>
      </c>
      <c r="C393" s="55" t="s">
        <v>626</v>
      </c>
      <c r="D393" s="5" t="s">
        <v>4</v>
      </c>
      <c r="E393" s="5">
        <v>20</v>
      </c>
      <c r="F393" s="15" t="s">
        <v>311</v>
      </c>
      <c r="G393" s="10" t="s">
        <v>861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17">
        <v>0.85826999999999998</v>
      </c>
      <c r="AI393" s="17">
        <f t="shared" si="15"/>
        <v>17.165399999999998</v>
      </c>
      <c r="AJ393" s="5"/>
      <c r="AK393" s="5"/>
      <c r="AL393" s="5"/>
      <c r="AM393" s="5"/>
      <c r="AN393" s="5"/>
      <c r="AO393" s="5"/>
      <c r="AP393" s="6"/>
      <c r="AQ393" s="6"/>
      <c r="AR393" s="6"/>
      <c r="AS393" s="6"/>
      <c r="AT393" s="6"/>
      <c r="AU393" s="6"/>
      <c r="AV393" s="7"/>
      <c r="AW393" s="7"/>
      <c r="AX393" s="7"/>
      <c r="AY393" s="7"/>
      <c r="AZ393" s="5"/>
      <c r="BA393" s="5"/>
      <c r="BB393" s="6"/>
      <c r="BC393" s="6"/>
      <c r="BD393" s="6"/>
      <c r="BE393" s="6"/>
      <c r="BF393" s="5"/>
      <c r="BG393" s="5"/>
      <c r="BH393" s="6"/>
      <c r="BI393" s="6"/>
      <c r="BJ393" s="6"/>
      <c r="BK393" s="6"/>
      <c r="BL393" s="6"/>
      <c r="BM393" s="6"/>
      <c r="BN393" s="6"/>
      <c r="BO393" s="6"/>
      <c r="BP393" s="6"/>
      <c r="BQ393" s="6"/>
    </row>
    <row r="394" spans="1:69" ht="28.8" x14ac:dyDescent="0.3">
      <c r="A394" s="129"/>
      <c r="B394" s="63">
        <v>391</v>
      </c>
      <c r="C394" s="100" t="s">
        <v>452</v>
      </c>
      <c r="D394" s="5" t="s">
        <v>4</v>
      </c>
      <c r="E394" s="5">
        <v>100</v>
      </c>
      <c r="F394" s="15" t="s">
        <v>451</v>
      </c>
      <c r="G394" s="10" t="s">
        <v>861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17">
        <v>8.0839999999999995E-2</v>
      </c>
      <c r="AI394" s="17">
        <f t="shared" si="15"/>
        <v>8.0839999999999996</v>
      </c>
      <c r="AJ394" s="5"/>
      <c r="AK394" s="5"/>
      <c r="AL394" s="5"/>
      <c r="AM394" s="5"/>
      <c r="AN394" s="5"/>
      <c r="AO394" s="5"/>
      <c r="AP394" s="6"/>
      <c r="AQ394" s="6"/>
      <c r="AR394" s="6"/>
      <c r="AS394" s="6"/>
      <c r="AT394" s="6"/>
      <c r="AU394" s="6"/>
      <c r="AV394" s="7"/>
      <c r="AW394" s="7"/>
      <c r="AX394" s="7"/>
      <c r="AY394" s="7"/>
      <c r="AZ394" s="5"/>
      <c r="BA394" s="5"/>
      <c r="BB394" s="6"/>
      <c r="BC394" s="6"/>
      <c r="BD394" s="6"/>
      <c r="BE394" s="6"/>
      <c r="BF394" s="5"/>
      <c r="BG394" s="5"/>
      <c r="BH394" s="6"/>
      <c r="BI394" s="6"/>
      <c r="BJ394" s="6"/>
      <c r="BK394" s="6"/>
      <c r="BL394" s="6"/>
      <c r="BM394" s="6"/>
      <c r="BN394" s="6"/>
      <c r="BO394" s="6"/>
      <c r="BP394" s="6"/>
      <c r="BQ394" s="6"/>
    </row>
    <row r="395" spans="1:69" ht="28.8" x14ac:dyDescent="0.3">
      <c r="A395" s="129"/>
      <c r="B395" s="63">
        <v>392</v>
      </c>
      <c r="C395" s="92" t="s">
        <v>628</v>
      </c>
      <c r="D395" s="5" t="s">
        <v>4</v>
      </c>
      <c r="E395" s="5">
        <v>100</v>
      </c>
      <c r="F395" s="15" t="s">
        <v>309</v>
      </c>
      <c r="G395" s="10" t="s">
        <v>861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17">
        <v>9.7309999999999994E-2</v>
      </c>
      <c r="AI395" s="17">
        <f t="shared" si="15"/>
        <v>9.7309999999999999</v>
      </c>
      <c r="AJ395" s="5"/>
      <c r="AK395" s="5"/>
      <c r="AL395" s="5"/>
      <c r="AM395" s="5"/>
      <c r="AN395" s="5"/>
      <c r="AO395" s="5"/>
      <c r="AP395" s="6"/>
      <c r="AQ395" s="6"/>
      <c r="AR395" s="6"/>
      <c r="AS395" s="6"/>
      <c r="AT395" s="6"/>
      <c r="AU395" s="6"/>
      <c r="AV395" s="7"/>
      <c r="AW395" s="7"/>
      <c r="AX395" s="7"/>
      <c r="AY395" s="7"/>
      <c r="AZ395" s="5"/>
      <c r="BA395" s="5"/>
      <c r="BB395" s="6"/>
      <c r="BC395" s="6"/>
      <c r="BD395" s="6"/>
      <c r="BE395" s="6"/>
      <c r="BF395" s="5"/>
      <c r="BG395" s="5"/>
      <c r="BH395" s="6"/>
      <c r="BI395" s="6"/>
      <c r="BJ395" s="6"/>
      <c r="BK395" s="6"/>
      <c r="BL395" s="6"/>
      <c r="BM395" s="6"/>
      <c r="BN395" s="6"/>
      <c r="BO395" s="6"/>
      <c r="BP395" s="6"/>
      <c r="BQ395" s="6"/>
    </row>
    <row r="396" spans="1:69" ht="43.2" x14ac:dyDescent="0.3">
      <c r="A396" s="129"/>
      <c r="B396" s="63">
        <v>393</v>
      </c>
      <c r="C396" s="57" t="s">
        <v>822</v>
      </c>
      <c r="D396" s="5" t="s">
        <v>4</v>
      </c>
      <c r="E396" s="5">
        <v>25</v>
      </c>
      <c r="F396" s="15" t="s">
        <v>821</v>
      </c>
      <c r="G396" s="10" t="s">
        <v>861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6"/>
      <c r="AQ396" s="6"/>
      <c r="AR396" s="6"/>
      <c r="AS396" s="6"/>
      <c r="AT396" s="17">
        <v>0.46</v>
      </c>
      <c r="AU396" s="17">
        <f>AT396*E396</f>
        <v>11.5</v>
      </c>
      <c r="AV396" s="7"/>
      <c r="AW396" s="7"/>
      <c r="AX396" s="7"/>
      <c r="AY396" s="7"/>
      <c r="AZ396" s="5"/>
      <c r="BA396" s="5"/>
      <c r="BB396" s="6"/>
      <c r="BC396" s="6"/>
      <c r="BD396" s="6"/>
      <c r="BE396" s="6"/>
      <c r="BF396" s="5"/>
      <c r="BG396" s="5"/>
      <c r="BH396" s="6"/>
      <c r="BI396" s="6"/>
      <c r="BJ396" s="6"/>
      <c r="BK396" s="6"/>
      <c r="BL396" s="6"/>
      <c r="BM396" s="6"/>
      <c r="BN396" s="6"/>
      <c r="BO396" s="6"/>
      <c r="BP396" s="6"/>
      <c r="BQ396" s="6"/>
    </row>
    <row r="397" spans="1:69" ht="28.8" x14ac:dyDescent="0.3">
      <c r="A397" s="129"/>
      <c r="B397" s="63">
        <v>394</v>
      </c>
      <c r="C397" s="92" t="s">
        <v>627</v>
      </c>
      <c r="D397" s="5" t="s">
        <v>4</v>
      </c>
      <c r="E397" s="5">
        <v>50</v>
      </c>
      <c r="F397" s="15" t="s">
        <v>310</v>
      </c>
      <c r="G397" s="10" t="s">
        <v>861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17">
        <v>0.12275999999999999</v>
      </c>
      <c r="AI397" s="17">
        <f>AH397*E397</f>
        <v>6.1379999999999999</v>
      </c>
      <c r="AJ397" s="5"/>
      <c r="AK397" s="5"/>
      <c r="AL397" s="5"/>
      <c r="AM397" s="5"/>
      <c r="AN397" s="5"/>
      <c r="AO397" s="5"/>
      <c r="AP397" s="6"/>
      <c r="AQ397" s="6"/>
      <c r="AR397" s="6"/>
      <c r="AS397" s="6"/>
      <c r="AT397" s="6"/>
      <c r="AU397" s="6"/>
      <c r="AV397" s="7"/>
      <c r="AW397" s="7"/>
      <c r="AX397" s="7"/>
      <c r="AY397" s="7"/>
      <c r="AZ397" s="5"/>
      <c r="BA397" s="5"/>
      <c r="BB397" s="6"/>
      <c r="BC397" s="6"/>
      <c r="BD397" s="6"/>
      <c r="BE397" s="6"/>
      <c r="BF397" s="5"/>
      <c r="BG397" s="5"/>
      <c r="BH397" s="6"/>
      <c r="BI397" s="6"/>
      <c r="BJ397" s="6"/>
      <c r="BK397" s="6"/>
      <c r="BL397" s="6"/>
      <c r="BM397" s="6"/>
      <c r="BN397" s="6"/>
      <c r="BO397" s="6"/>
      <c r="BP397" s="6"/>
      <c r="BQ397" s="6"/>
    </row>
    <row r="398" spans="1:69" ht="28.8" x14ac:dyDescent="0.3">
      <c r="A398" s="129"/>
      <c r="B398" s="63">
        <v>395</v>
      </c>
      <c r="C398" s="93" t="s">
        <v>631</v>
      </c>
      <c r="D398" s="5" t="s">
        <v>4</v>
      </c>
      <c r="E398" s="5">
        <v>100</v>
      </c>
      <c r="F398" s="15" t="s">
        <v>305</v>
      </c>
      <c r="G398" s="10" t="s">
        <v>861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17">
        <v>0.11532000000000001</v>
      </c>
      <c r="AI398" s="17">
        <f>AH398*E398</f>
        <v>11.532</v>
      </c>
      <c r="AJ398" s="5"/>
      <c r="AK398" s="5"/>
      <c r="AL398" s="5"/>
      <c r="AM398" s="5"/>
      <c r="AN398" s="5"/>
      <c r="AO398" s="5"/>
      <c r="AP398" s="6"/>
      <c r="AQ398" s="6"/>
      <c r="AR398" s="6"/>
      <c r="AS398" s="6"/>
      <c r="AT398" s="6"/>
      <c r="AU398" s="6"/>
      <c r="AV398" s="7"/>
      <c r="AW398" s="7"/>
      <c r="AX398" s="7"/>
      <c r="AY398" s="7"/>
      <c r="AZ398" s="5"/>
      <c r="BA398" s="5"/>
      <c r="BB398" s="6"/>
      <c r="BC398" s="6"/>
      <c r="BD398" s="6"/>
      <c r="BE398" s="6"/>
      <c r="BF398" s="5"/>
      <c r="BG398" s="5"/>
      <c r="BH398" s="6"/>
      <c r="BI398" s="6"/>
      <c r="BJ398" s="6"/>
      <c r="BK398" s="6"/>
      <c r="BL398" s="6"/>
      <c r="BM398" s="6"/>
      <c r="BN398" s="6"/>
      <c r="BO398" s="6"/>
      <c r="BP398" s="6"/>
      <c r="BQ398" s="6"/>
    </row>
    <row r="399" spans="1:69" ht="57.6" x14ac:dyDescent="0.3">
      <c r="A399" s="129"/>
      <c r="B399" s="63">
        <v>396</v>
      </c>
      <c r="C399" s="55" t="s">
        <v>824</v>
      </c>
      <c r="D399" s="5" t="s">
        <v>4</v>
      </c>
      <c r="E399" s="5">
        <v>3</v>
      </c>
      <c r="F399" s="15" t="s">
        <v>823</v>
      </c>
      <c r="G399" s="10" t="s">
        <v>861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6"/>
      <c r="AQ399" s="6"/>
      <c r="AR399" s="6"/>
      <c r="AS399" s="6"/>
      <c r="AT399" s="6"/>
      <c r="AU399" s="6"/>
      <c r="AV399" s="7"/>
      <c r="AW399" s="7"/>
      <c r="AX399" s="103">
        <v>39.17</v>
      </c>
      <c r="AY399" s="103">
        <f>AX399*E399</f>
        <v>117.51</v>
      </c>
      <c r="AZ399" s="5"/>
      <c r="BA399" s="5"/>
      <c r="BB399" s="6"/>
      <c r="BC399" s="6"/>
      <c r="BD399" s="6"/>
      <c r="BE399" s="6"/>
      <c r="BF399" s="5"/>
      <c r="BG399" s="5"/>
      <c r="BH399" s="6"/>
      <c r="BI399" s="6"/>
      <c r="BJ399" s="6"/>
      <c r="BK399" s="6"/>
      <c r="BL399" s="6"/>
      <c r="BM399" s="6"/>
      <c r="BN399" s="6"/>
      <c r="BO399" s="6"/>
      <c r="BP399" s="6"/>
      <c r="BQ399" s="6"/>
    </row>
    <row r="400" spans="1:69" ht="28.8" x14ac:dyDescent="0.3">
      <c r="A400" s="129"/>
      <c r="B400" s="63">
        <v>397</v>
      </c>
      <c r="C400" s="57" t="s">
        <v>778</v>
      </c>
      <c r="D400" s="5" t="s">
        <v>4</v>
      </c>
      <c r="E400" s="5">
        <v>3</v>
      </c>
      <c r="F400" s="15" t="s">
        <v>777</v>
      </c>
      <c r="G400" s="10" t="s">
        <v>861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17">
        <v>3.4614799999999999</v>
      </c>
      <c r="AI400" s="17">
        <f>AH400*E400</f>
        <v>10.38444</v>
      </c>
      <c r="AJ400" s="5"/>
      <c r="AK400" s="5"/>
      <c r="AL400" s="5"/>
      <c r="AM400" s="5"/>
      <c r="AN400" s="5"/>
      <c r="AO400" s="5"/>
      <c r="AP400" s="6"/>
      <c r="AQ400" s="6"/>
      <c r="AR400" s="6"/>
      <c r="AS400" s="6"/>
      <c r="AT400" s="6"/>
      <c r="AU400" s="6"/>
      <c r="AV400" s="7"/>
      <c r="AW400" s="7"/>
      <c r="AX400" s="7"/>
      <c r="AY400" s="7"/>
      <c r="AZ400" s="5"/>
      <c r="BA400" s="5"/>
      <c r="BB400" s="6"/>
      <c r="BC400" s="6"/>
      <c r="BD400" s="6"/>
      <c r="BE400" s="6"/>
      <c r="BF400" s="5"/>
      <c r="BG400" s="5"/>
      <c r="BH400" s="6"/>
      <c r="BI400" s="6"/>
      <c r="BJ400" s="6"/>
      <c r="BK400" s="6"/>
      <c r="BL400" s="6"/>
      <c r="BM400" s="6"/>
      <c r="BN400" s="6"/>
      <c r="BO400" s="6"/>
      <c r="BP400" s="6"/>
      <c r="BQ400" s="6"/>
    </row>
    <row r="401" spans="1:69" ht="28.8" x14ac:dyDescent="0.3">
      <c r="A401" s="129"/>
      <c r="B401" s="63">
        <v>398</v>
      </c>
      <c r="C401" s="55" t="s">
        <v>826</v>
      </c>
      <c r="D401" s="5" t="s">
        <v>4</v>
      </c>
      <c r="E401" s="5">
        <v>3</v>
      </c>
      <c r="F401" s="77" t="s">
        <v>825</v>
      </c>
      <c r="G401" s="10" t="s">
        <v>861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6"/>
      <c r="AQ401" s="6"/>
      <c r="AR401" s="6"/>
      <c r="AS401" s="6"/>
      <c r="AT401" s="6"/>
      <c r="AU401" s="6"/>
      <c r="AV401" s="7"/>
      <c r="AW401" s="7"/>
      <c r="AX401" s="7"/>
      <c r="AY401" s="7"/>
      <c r="AZ401" s="5"/>
      <c r="BA401" s="5"/>
      <c r="BB401" s="6"/>
      <c r="BC401" s="6"/>
      <c r="BD401" s="6"/>
      <c r="BE401" s="6"/>
      <c r="BF401" s="5"/>
      <c r="BG401" s="5"/>
      <c r="BH401" s="6"/>
      <c r="BI401" s="6"/>
      <c r="BJ401" s="6"/>
      <c r="BK401" s="6"/>
      <c r="BL401" s="6"/>
      <c r="BM401" s="6"/>
      <c r="BN401" s="6"/>
      <c r="BO401" s="6"/>
      <c r="BP401" s="105">
        <v>1.71</v>
      </c>
      <c r="BQ401" s="106">
        <f>(BP401*E401)*I484</f>
        <v>270.65879999999999</v>
      </c>
    </row>
    <row r="402" spans="1:69" ht="129.6" x14ac:dyDescent="0.3">
      <c r="A402" s="129"/>
      <c r="B402" s="63">
        <v>399</v>
      </c>
      <c r="C402" s="57" t="s">
        <v>828</v>
      </c>
      <c r="D402" s="5" t="s">
        <v>4</v>
      </c>
      <c r="E402" s="5">
        <v>3</v>
      </c>
      <c r="F402" s="15" t="s">
        <v>827</v>
      </c>
      <c r="G402" s="10" t="s">
        <v>861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17">
        <v>61.555900000000001</v>
      </c>
      <c r="AI402" s="17">
        <f>AH402*E402</f>
        <v>184.6677</v>
      </c>
      <c r="AJ402" s="5"/>
      <c r="AK402" s="5"/>
      <c r="AL402" s="5"/>
      <c r="AM402" s="5"/>
      <c r="AN402" s="5"/>
      <c r="AO402" s="5"/>
      <c r="AP402" s="6"/>
      <c r="AQ402" s="6"/>
      <c r="AR402" s="6"/>
      <c r="AS402" s="6"/>
      <c r="AT402" s="6"/>
      <c r="AU402" s="6"/>
      <c r="AV402" s="7"/>
      <c r="AW402" s="7"/>
      <c r="AX402" s="7"/>
      <c r="AY402" s="7"/>
      <c r="AZ402" s="5"/>
      <c r="BA402" s="5"/>
      <c r="BB402" s="6"/>
      <c r="BC402" s="6"/>
      <c r="BD402" s="6"/>
      <c r="BE402" s="6"/>
      <c r="BF402" s="5"/>
      <c r="BG402" s="5"/>
      <c r="BH402" s="6"/>
      <c r="BI402" s="6"/>
      <c r="BJ402" s="6"/>
      <c r="BK402" s="6"/>
      <c r="BL402" s="6"/>
      <c r="BM402" s="6"/>
      <c r="BN402" s="6"/>
      <c r="BO402" s="6"/>
      <c r="BP402" s="6"/>
      <c r="BQ402" s="6"/>
    </row>
    <row r="403" spans="1:69" ht="28.8" x14ac:dyDescent="0.3">
      <c r="A403" s="129"/>
      <c r="B403" s="63">
        <v>400</v>
      </c>
      <c r="C403" s="57" t="s">
        <v>830</v>
      </c>
      <c r="D403" s="5" t="s">
        <v>4</v>
      </c>
      <c r="E403" s="5">
        <v>5</v>
      </c>
      <c r="F403" s="15" t="s">
        <v>829</v>
      </c>
      <c r="G403" s="10" t="s">
        <v>861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17">
        <v>1.65</v>
      </c>
      <c r="U403" s="17">
        <f>T403*E403</f>
        <v>8.25</v>
      </c>
      <c r="V403" s="6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6"/>
      <c r="AQ403" s="6"/>
      <c r="AR403" s="6"/>
      <c r="AS403" s="6"/>
      <c r="AT403" s="6"/>
      <c r="AU403" s="6"/>
      <c r="AV403" s="7"/>
      <c r="AW403" s="7"/>
      <c r="AX403" s="7"/>
      <c r="AY403" s="7"/>
      <c r="AZ403" s="5"/>
      <c r="BA403" s="5"/>
      <c r="BB403" s="6"/>
      <c r="BC403" s="6"/>
      <c r="BD403" s="6"/>
      <c r="BE403" s="6"/>
      <c r="BF403" s="5"/>
      <c r="BG403" s="5"/>
      <c r="BH403" s="6"/>
      <c r="BI403" s="6"/>
      <c r="BJ403" s="6"/>
      <c r="BK403" s="6"/>
      <c r="BL403" s="6"/>
      <c r="BM403" s="6"/>
      <c r="BN403" s="6"/>
      <c r="BO403" s="6"/>
      <c r="BP403" s="6"/>
      <c r="BQ403" s="6"/>
    </row>
    <row r="404" spans="1:69" ht="57.6" x14ac:dyDescent="0.3">
      <c r="A404" s="129"/>
      <c r="B404" s="63">
        <v>401</v>
      </c>
      <c r="C404" s="95" t="s">
        <v>832</v>
      </c>
      <c r="D404" s="5" t="s">
        <v>4</v>
      </c>
      <c r="E404" s="5">
        <v>3</v>
      </c>
      <c r="F404" s="15" t="s">
        <v>831</v>
      </c>
      <c r="G404" s="10" t="s">
        <v>861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6"/>
      <c r="AQ404" s="6"/>
      <c r="AR404" s="17">
        <v>20.27</v>
      </c>
      <c r="AS404" s="17">
        <f>AR404*E404</f>
        <v>60.81</v>
      </c>
      <c r="AT404" s="6"/>
      <c r="AU404" s="6"/>
      <c r="AV404" s="7"/>
      <c r="AW404" s="7"/>
      <c r="AX404" s="7"/>
      <c r="AY404" s="7"/>
      <c r="AZ404" s="5"/>
      <c r="BA404" s="5"/>
      <c r="BB404" s="6"/>
      <c r="BC404" s="6"/>
      <c r="BD404" s="6"/>
      <c r="BE404" s="6"/>
      <c r="BF404" s="5"/>
      <c r="BG404" s="5"/>
      <c r="BH404" s="6"/>
      <c r="BI404" s="6"/>
      <c r="BJ404" s="6"/>
      <c r="BK404" s="6"/>
      <c r="BL404" s="6"/>
      <c r="BM404" s="6"/>
      <c r="BN404" s="6"/>
      <c r="BO404" s="6"/>
      <c r="BP404" s="6"/>
      <c r="BQ404" s="6"/>
    </row>
    <row r="405" spans="1:69" ht="57.6" x14ac:dyDescent="0.3">
      <c r="A405" s="129"/>
      <c r="B405" s="63">
        <v>402</v>
      </c>
      <c r="C405" s="57" t="s">
        <v>834</v>
      </c>
      <c r="D405" s="5" t="s">
        <v>4</v>
      </c>
      <c r="E405" s="5">
        <v>3</v>
      </c>
      <c r="F405" s="15" t="s">
        <v>833</v>
      </c>
      <c r="G405" s="10" t="s">
        <v>861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17">
        <v>144.417</v>
      </c>
      <c r="AI405" s="17">
        <f>AH405*E405</f>
        <v>433.25099999999998</v>
      </c>
      <c r="AJ405" s="5"/>
      <c r="AK405" s="5"/>
      <c r="AL405" s="5"/>
      <c r="AM405" s="5"/>
      <c r="AN405" s="5"/>
      <c r="AO405" s="5"/>
      <c r="AP405" s="6"/>
      <c r="AQ405" s="6"/>
      <c r="AR405" s="6"/>
      <c r="AS405" s="6"/>
      <c r="AT405" s="6"/>
      <c r="AU405" s="6"/>
      <c r="AV405" s="7"/>
      <c r="AW405" s="7"/>
      <c r="AX405" s="7"/>
      <c r="AY405" s="7"/>
      <c r="AZ405" s="5"/>
      <c r="BA405" s="5"/>
      <c r="BB405" s="6"/>
      <c r="BC405" s="6"/>
      <c r="BD405" s="6"/>
      <c r="BE405" s="6"/>
      <c r="BF405" s="5"/>
      <c r="BG405" s="5"/>
      <c r="BH405" s="6"/>
      <c r="BI405" s="6"/>
      <c r="BJ405" s="6"/>
      <c r="BK405" s="6"/>
      <c r="BL405" s="6"/>
      <c r="BM405" s="6"/>
      <c r="BN405" s="6"/>
      <c r="BO405" s="6"/>
      <c r="BP405" s="6"/>
      <c r="BQ405" s="6"/>
    </row>
    <row r="406" spans="1:69" ht="46.2" customHeight="1" x14ac:dyDescent="0.3">
      <c r="A406" s="129"/>
      <c r="B406" s="63">
        <v>403</v>
      </c>
      <c r="C406" s="87" t="s">
        <v>836</v>
      </c>
      <c r="D406" s="5" t="s">
        <v>4</v>
      </c>
      <c r="E406" s="5">
        <v>4</v>
      </c>
      <c r="F406" s="15" t="s">
        <v>835</v>
      </c>
      <c r="G406" s="10" t="s">
        <v>861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6"/>
      <c r="AQ406" s="6"/>
      <c r="AR406" s="6"/>
      <c r="AS406" s="6"/>
      <c r="AT406" s="17">
        <v>99.81</v>
      </c>
      <c r="AU406" s="17">
        <f>AT406*E406</f>
        <v>399.24</v>
      </c>
      <c r="AV406" s="7"/>
      <c r="AW406" s="7"/>
      <c r="AX406" s="7"/>
      <c r="AY406" s="7"/>
      <c r="AZ406" s="5"/>
      <c r="BA406" s="5"/>
      <c r="BB406" s="6"/>
      <c r="BC406" s="6"/>
      <c r="BD406" s="6"/>
      <c r="BE406" s="6"/>
      <c r="BF406" s="5"/>
      <c r="BG406" s="5"/>
      <c r="BH406" s="6"/>
      <c r="BI406" s="6"/>
      <c r="BJ406" s="6"/>
      <c r="BK406" s="6"/>
      <c r="BL406" s="6"/>
      <c r="BM406" s="6"/>
      <c r="BN406" s="6"/>
      <c r="BO406" s="6"/>
      <c r="BP406" s="6"/>
      <c r="BQ406" s="6"/>
    </row>
    <row r="407" spans="1:69" ht="28.8" x14ac:dyDescent="0.3">
      <c r="A407" s="129"/>
      <c r="B407" s="63">
        <v>404</v>
      </c>
      <c r="C407" s="78" t="s">
        <v>840</v>
      </c>
      <c r="D407" s="5" t="s">
        <v>4</v>
      </c>
      <c r="E407" s="5">
        <v>30</v>
      </c>
      <c r="F407" s="15" t="s">
        <v>839</v>
      </c>
      <c r="G407" s="10" t="s">
        <v>861</v>
      </c>
      <c r="H407" s="6"/>
      <c r="I407" s="6"/>
      <c r="J407" s="6"/>
      <c r="K407" s="6"/>
      <c r="L407" s="6"/>
      <c r="M407" s="6"/>
      <c r="N407" s="6"/>
      <c r="O407" s="6"/>
      <c r="P407" s="17">
        <v>3.07</v>
      </c>
      <c r="Q407" s="17">
        <f>P407*E407</f>
        <v>92.1</v>
      </c>
      <c r="R407" s="6"/>
      <c r="S407" s="6"/>
      <c r="T407" s="6"/>
      <c r="U407" s="6"/>
      <c r="V407" s="6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6"/>
      <c r="AQ407" s="6"/>
      <c r="AR407" s="6"/>
      <c r="AS407" s="6"/>
      <c r="AT407" s="6"/>
      <c r="AU407" s="6"/>
      <c r="AV407" s="7"/>
      <c r="AW407" s="7"/>
      <c r="AX407" s="7"/>
      <c r="AY407" s="7"/>
      <c r="AZ407" s="5"/>
      <c r="BA407" s="5"/>
      <c r="BB407" s="6"/>
      <c r="BC407" s="6"/>
      <c r="BD407" s="6"/>
      <c r="BE407" s="6"/>
      <c r="BF407" s="5"/>
      <c r="BG407" s="5"/>
      <c r="BH407" s="6"/>
      <c r="BI407" s="6"/>
      <c r="BJ407" s="6"/>
      <c r="BK407" s="6"/>
      <c r="BL407" s="6"/>
      <c r="BM407" s="6"/>
      <c r="BN407" s="6"/>
      <c r="BO407" s="6"/>
      <c r="BP407" s="6"/>
      <c r="BQ407" s="6"/>
    </row>
    <row r="408" spans="1:69" ht="28.8" x14ac:dyDescent="0.3">
      <c r="A408" s="129"/>
      <c r="B408" s="63">
        <v>405</v>
      </c>
      <c r="C408" s="57" t="s">
        <v>842</v>
      </c>
      <c r="D408" s="5" t="s">
        <v>4</v>
      </c>
      <c r="E408" s="5">
        <v>20</v>
      </c>
      <c r="F408" s="15" t="s">
        <v>841</v>
      </c>
      <c r="G408" s="10" t="s">
        <v>861</v>
      </c>
      <c r="H408" s="6"/>
      <c r="I408" s="6"/>
      <c r="J408" s="6"/>
      <c r="K408" s="6"/>
      <c r="L408" s="6"/>
      <c r="M408" s="6"/>
      <c r="N408" s="6"/>
      <c r="O408" s="6"/>
      <c r="P408" s="17">
        <v>8.36</v>
      </c>
      <c r="Q408" s="17">
        <f>P408*E408</f>
        <v>167.2</v>
      </c>
      <c r="R408" s="6"/>
      <c r="S408" s="6"/>
      <c r="T408" s="6"/>
      <c r="U408" s="6"/>
      <c r="V408" s="6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6"/>
      <c r="AQ408" s="6"/>
      <c r="AR408" s="6"/>
      <c r="AS408" s="6"/>
      <c r="AT408" s="6"/>
      <c r="AU408" s="6"/>
      <c r="AV408" s="7"/>
      <c r="AW408" s="7"/>
      <c r="AX408" s="7"/>
      <c r="AY408" s="7"/>
      <c r="AZ408" s="5"/>
      <c r="BA408" s="5"/>
      <c r="BB408" s="6"/>
      <c r="BC408" s="6"/>
      <c r="BD408" s="6"/>
      <c r="BE408" s="6"/>
      <c r="BF408" s="5"/>
      <c r="BG408" s="5"/>
      <c r="BH408" s="6"/>
      <c r="BI408" s="6"/>
      <c r="BJ408" s="6"/>
      <c r="BK408" s="6"/>
      <c r="BL408" s="6"/>
      <c r="BM408" s="6"/>
      <c r="BN408" s="6"/>
      <c r="BO408" s="6"/>
      <c r="BP408" s="6"/>
      <c r="BQ408" s="6"/>
    </row>
    <row r="409" spans="1:69" ht="30" x14ac:dyDescent="0.3">
      <c r="A409" s="129"/>
      <c r="B409" s="63">
        <v>406</v>
      </c>
      <c r="C409" s="91" t="s">
        <v>844</v>
      </c>
      <c r="D409" s="5" t="s">
        <v>4</v>
      </c>
      <c r="E409" s="5">
        <v>5</v>
      </c>
      <c r="F409" s="15" t="s">
        <v>843</v>
      </c>
      <c r="G409" s="10" t="s">
        <v>861</v>
      </c>
      <c r="H409" s="6"/>
      <c r="I409" s="6"/>
      <c r="J409" s="6"/>
      <c r="K409" s="6"/>
      <c r="L409" s="6"/>
      <c r="M409" s="6"/>
      <c r="N409" s="17">
        <v>7.73</v>
      </c>
      <c r="O409" s="17">
        <f>N409*E409</f>
        <v>38.650000000000006</v>
      </c>
      <c r="P409" s="6"/>
      <c r="Q409" s="6"/>
      <c r="R409" s="6"/>
      <c r="S409" s="6"/>
      <c r="T409" s="6"/>
      <c r="U409" s="6"/>
      <c r="V409" s="6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6"/>
      <c r="AQ409" s="6"/>
      <c r="AR409" s="6"/>
      <c r="AS409" s="6"/>
      <c r="AT409" s="6"/>
      <c r="AU409" s="6"/>
      <c r="AV409" s="7"/>
      <c r="AW409" s="7"/>
      <c r="AX409" s="7"/>
      <c r="AY409" s="7"/>
      <c r="AZ409" s="5"/>
      <c r="BA409" s="5"/>
      <c r="BB409" s="6"/>
      <c r="BC409" s="6"/>
      <c r="BD409" s="6"/>
      <c r="BE409" s="6"/>
      <c r="BF409" s="5"/>
      <c r="BG409" s="5"/>
      <c r="BH409" s="6"/>
      <c r="BI409" s="6"/>
      <c r="BJ409" s="6"/>
      <c r="BK409" s="6"/>
      <c r="BL409" s="6"/>
      <c r="BM409" s="6"/>
      <c r="BN409" s="6"/>
      <c r="BO409" s="6"/>
      <c r="BP409" s="6"/>
      <c r="BQ409" s="6"/>
    </row>
    <row r="410" spans="1:69" ht="28.8" x14ac:dyDescent="0.3">
      <c r="A410" s="129"/>
      <c r="B410" s="63">
        <v>407</v>
      </c>
      <c r="C410" s="85" t="s">
        <v>845</v>
      </c>
      <c r="D410" s="5" t="s">
        <v>4</v>
      </c>
      <c r="E410" s="5">
        <v>5</v>
      </c>
      <c r="F410" s="15" t="s">
        <v>101</v>
      </c>
      <c r="G410" s="10" t="s">
        <v>861</v>
      </c>
      <c r="H410" s="6"/>
      <c r="I410" s="6"/>
      <c r="J410" s="6"/>
      <c r="K410" s="6"/>
      <c r="L410" s="6"/>
      <c r="M410" s="6"/>
      <c r="N410" s="17">
        <v>8.2799999999999994</v>
      </c>
      <c r="O410" s="17">
        <f>N410*E410</f>
        <v>41.4</v>
      </c>
      <c r="P410" s="6"/>
      <c r="Q410" s="6"/>
      <c r="R410" s="6"/>
      <c r="S410" s="6"/>
      <c r="T410" s="6"/>
      <c r="U410" s="6"/>
      <c r="V410" s="6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6"/>
      <c r="AQ410" s="6"/>
      <c r="AR410" s="6"/>
      <c r="AS410" s="6"/>
      <c r="AT410" s="6"/>
      <c r="AU410" s="6"/>
      <c r="AV410" s="7"/>
      <c r="AW410" s="7"/>
      <c r="AX410" s="7"/>
      <c r="AY410" s="7"/>
      <c r="AZ410" s="5"/>
      <c r="BA410" s="5"/>
      <c r="BB410" s="6"/>
      <c r="BC410" s="6"/>
      <c r="BD410" s="6"/>
      <c r="BE410" s="6"/>
      <c r="BF410" s="5"/>
      <c r="BG410" s="5"/>
      <c r="BH410" s="6"/>
      <c r="BI410" s="6"/>
      <c r="BJ410" s="6"/>
      <c r="BK410" s="6"/>
      <c r="BL410" s="6"/>
      <c r="BM410" s="6"/>
      <c r="BN410" s="6"/>
      <c r="BO410" s="6"/>
      <c r="BP410" s="6"/>
      <c r="BQ410" s="6"/>
    </row>
    <row r="411" spans="1:69" ht="28.8" x14ac:dyDescent="0.3">
      <c r="A411" s="129"/>
      <c r="B411" s="63">
        <v>408</v>
      </c>
      <c r="C411" s="84" t="s">
        <v>847</v>
      </c>
      <c r="D411" s="5" t="s">
        <v>4</v>
      </c>
      <c r="E411" s="5">
        <v>5</v>
      </c>
      <c r="F411" s="15" t="s">
        <v>846</v>
      </c>
      <c r="G411" s="10" t="s">
        <v>861</v>
      </c>
      <c r="H411" s="6"/>
      <c r="I411" s="6"/>
      <c r="J411" s="6"/>
      <c r="K411" s="6"/>
      <c r="L411" s="6"/>
      <c r="M411" s="6"/>
      <c r="N411" s="6"/>
      <c r="O411" s="6"/>
      <c r="P411" s="17">
        <v>4.8499999999999996</v>
      </c>
      <c r="Q411" s="17">
        <f>P411*E411</f>
        <v>24.25</v>
      </c>
      <c r="R411" s="6"/>
      <c r="S411" s="6"/>
      <c r="T411" s="6"/>
      <c r="U411" s="6"/>
      <c r="V411" s="6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6"/>
      <c r="AQ411" s="6"/>
      <c r="AR411" s="6"/>
      <c r="AS411" s="6"/>
      <c r="AT411" s="6"/>
      <c r="AU411" s="6"/>
      <c r="AV411" s="7"/>
      <c r="AW411" s="7"/>
      <c r="AX411" s="7"/>
      <c r="AY411" s="7"/>
      <c r="AZ411" s="5"/>
      <c r="BA411" s="5"/>
      <c r="BB411" s="6"/>
      <c r="BC411" s="6"/>
      <c r="BD411" s="6"/>
      <c r="BE411" s="6"/>
      <c r="BF411" s="5"/>
      <c r="BG411" s="5"/>
      <c r="BH411" s="6"/>
      <c r="BI411" s="6"/>
      <c r="BJ411" s="6"/>
      <c r="BK411" s="6"/>
      <c r="BL411" s="6"/>
      <c r="BM411" s="6"/>
      <c r="BN411" s="6"/>
      <c r="BO411" s="6"/>
      <c r="BP411" s="6"/>
      <c r="BQ411" s="6"/>
    </row>
    <row r="412" spans="1:69" ht="28.8" x14ac:dyDescent="0.3">
      <c r="A412" s="129"/>
      <c r="B412" s="63">
        <v>409</v>
      </c>
      <c r="C412" s="101" t="s">
        <v>848</v>
      </c>
      <c r="D412" s="5" t="s">
        <v>4</v>
      </c>
      <c r="E412" s="5">
        <v>5</v>
      </c>
      <c r="F412" s="15" t="s">
        <v>760</v>
      </c>
      <c r="G412" s="10" t="s">
        <v>861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17">
        <v>2.39</v>
      </c>
      <c r="Y412" s="17">
        <f>X412*E412</f>
        <v>11.950000000000001</v>
      </c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6"/>
      <c r="AQ412" s="6"/>
      <c r="AR412" s="6"/>
      <c r="AS412" s="6"/>
      <c r="AT412" s="6"/>
      <c r="AU412" s="6"/>
      <c r="AV412" s="7"/>
      <c r="AW412" s="7"/>
      <c r="AX412" s="7"/>
      <c r="AY412" s="7"/>
      <c r="AZ412" s="5"/>
      <c r="BA412" s="5"/>
      <c r="BB412" s="6"/>
      <c r="BC412" s="6"/>
      <c r="BD412" s="6"/>
      <c r="BE412" s="6"/>
      <c r="BF412" s="5"/>
      <c r="BG412" s="5"/>
      <c r="BH412" s="6"/>
      <c r="BI412" s="6"/>
      <c r="BJ412" s="6"/>
      <c r="BK412" s="6"/>
      <c r="BL412" s="6"/>
      <c r="BM412" s="6"/>
      <c r="BN412" s="6"/>
      <c r="BO412" s="6"/>
      <c r="BP412" s="6"/>
      <c r="BQ412" s="6"/>
    </row>
    <row r="413" spans="1:69" ht="43.2" x14ac:dyDescent="0.3">
      <c r="A413" s="129"/>
      <c r="B413" s="63">
        <v>410</v>
      </c>
      <c r="C413" s="102" t="s">
        <v>850</v>
      </c>
      <c r="D413" s="5" t="s">
        <v>4</v>
      </c>
      <c r="E413" s="5">
        <v>1</v>
      </c>
      <c r="F413" s="15" t="s">
        <v>849</v>
      </c>
      <c r="G413" s="10" t="s">
        <v>861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5"/>
      <c r="Y413" s="5"/>
      <c r="Z413" s="5"/>
      <c r="AA413" s="5"/>
      <c r="AB413" s="17">
        <v>900</v>
      </c>
      <c r="AC413" s="17">
        <f>AB413*E413</f>
        <v>900</v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6"/>
      <c r="AQ413" s="6"/>
      <c r="AR413" s="6"/>
      <c r="AS413" s="6"/>
      <c r="AT413" s="6"/>
      <c r="AU413" s="6"/>
      <c r="AV413" s="7"/>
      <c r="AW413" s="7"/>
      <c r="AX413" s="7"/>
      <c r="AY413" s="7"/>
      <c r="AZ413" s="5"/>
      <c r="BA413" s="5"/>
      <c r="BB413" s="6"/>
      <c r="BC413" s="6"/>
      <c r="BD413" s="6"/>
      <c r="BE413" s="6"/>
      <c r="BF413" s="5"/>
      <c r="BG413" s="5"/>
      <c r="BH413" s="6"/>
      <c r="BI413" s="6"/>
      <c r="BJ413" s="6"/>
      <c r="BK413" s="6"/>
      <c r="BL413" s="6"/>
      <c r="BM413" s="6"/>
      <c r="BN413" s="6"/>
      <c r="BO413" s="6"/>
      <c r="BP413" s="6"/>
      <c r="BQ413" s="6"/>
    </row>
    <row r="414" spans="1:69" ht="30" x14ac:dyDescent="0.3">
      <c r="A414" s="129"/>
      <c r="B414" s="63">
        <v>411</v>
      </c>
      <c r="C414" s="79" t="s">
        <v>852</v>
      </c>
      <c r="D414" s="5" t="s">
        <v>4</v>
      </c>
      <c r="E414" s="5">
        <v>5</v>
      </c>
      <c r="F414" s="15" t="s">
        <v>851</v>
      </c>
      <c r="G414" s="10" t="s">
        <v>861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17">
        <v>2.19</v>
      </c>
      <c r="U414" s="17">
        <f>T414*E414</f>
        <v>10.95</v>
      </c>
      <c r="V414" s="6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6"/>
      <c r="AQ414" s="6"/>
      <c r="AR414" s="6"/>
      <c r="AS414" s="6"/>
      <c r="AT414" s="6"/>
      <c r="AU414" s="6"/>
      <c r="AV414" s="7"/>
      <c r="AW414" s="7"/>
      <c r="AX414" s="7"/>
      <c r="AY414" s="7"/>
      <c r="AZ414" s="5"/>
      <c r="BA414" s="5"/>
      <c r="BB414" s="6"/>
      <c r="BC414" s="6"/>
      <c r="BD414" s="6"/>
      <c r="BE414" s="6"/>
      <c r="BF414" s="5"/>
      <c r="BG414" s="5"/>
      <c r="BH414" s="6"/>
      <c r="BI414" s="6"/>
      <c r="BJ414" s="6"/>
      <c r="BK414" s="6"/>
      <c r="BL414" s="6"/>
      <c r="BM414" s="6"/>
      <c r="BN414" s="6"/>
      <c r="BO414" s="6"/>
      <c r="BP414" s="6"/>
      <c r="BQ414" s="6"/>
    </row>
    <row r="415" spans="1:69" ht="28.8" x14ac:dyDescent="0.3">
      <c r="A415" s="129"/>
      <c r="B415" s="63">
        <v>412</v>
      </c>
      <c r="C415" s="55" t="s">
        <v>854</v>
      </c>
      <c r="D415" s="5" t="s">
        <v>4</v>
      </c>
      <c r="E415" s="5">
        <v>2</v>
      </c>
      <c r="F415" s="15" t="s">
        <v>853</v>
      </c>
      <c r="G415" s="10" t="s">
        <v>861</v>
      </c>
      <c r="H415" s="6"/>
      <c r="I415" s="6"/>
      <c r="J415" s="6"/>
      <c r="K415" s="6"/>
      <c r="L415" s="6"/>
      <c r="M415" s="6"/>
      <c r="N415" s="6"/>
      <c r="O415" s="6"/>
      <c r="P415" s="17">
        <v>323.52999999999997</v>
      </c>
      <c r="Q415" s="17">
        <f>P415*E415</f>
        <v>647.05999999999995</v>
      </c>
      <c r="R415" s="6"/>
      <c r="S415" s="6"/>
      <c r="T415" s="6"/>
      <c r="U415" s="6"/>
      <c r="V415" s="6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6"/>
      <c r="AQ415" s="6"/>
      <c r="AR415" s="6"/>
      <c r="AS415" s="6"/>
      <c r="AT415" s="6"/>
      <c r="AU415" s="6"/>
      <c r="AV415" s="7"/>
      <c r="AW415" s="7"/>
      <c r="AX415" s="7"/>
      <c r="AY415" s="7"/>
      <c r="AZ415" s="5"/>
      <c r="BA415" s="5"/>
      <c r="BB415" s="6"/>
      <c r="BC415" s="6"/>
      <c r="BD415" s="6"/>
      <c r="BE415" s="6"/>
      <c r="BF415" s="5"/>
      <c r="BG415" s="5"/>
      <c r="BH415" s="6"/>
      <c r="BI415" s="6"/>
      <c r="BJ415" s="6"/>
      <c r="BK415" s="6"/>
      <c r="BL415" s="6"/>
      <c r="BM415" s="6"/>
      <c r="BN415" s="6"/>
      <c r="BO415" s="6"/>
      <c r="BP415" s="6"/>
      <c r="BQ415" s="6"/>
    </row>
    <row r="416" spans="1:69" ht="43.2" x14ac:dyDescent="0.3">
      <c r="A416" s="129"/>
      <c r="B416" s="63">
        <v>413</v>
      </c>
      <c r="C416" s="57" t="s">
        <v>856</v>
      </c>
      <c r="D416" s="5" t="s">
        <v>4</v>
      </c>
      <c r="E416" s="5">
        <v>3</v>
      </c>
      <c r="F416" s="15" t="s">
        <v>855</v>
      </c>
      <c r="G416" s="10" t="s">
        <v>861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6"/>
      <c r="AQ416" s="6"/>
      <c r="AR416" s="17">
        <v>22.53</v>
      </c>
      <c r="AS416" s="17">
        <f>AR416*E416</f>
        <v>67.59</v>
      </c>
      <c r="AT416" s="6"/>
      <c r="AU416" s="6"/>
      <c r="AV416" s="7"/>
      <c r="AW416" s="7"/>
      <c r="AX416" s="7"/>
      <c r="AY416" s="7"/>
      <c r="AZ416" s="5"/>
      <c r="BA416" s="5"/>
      <c r="BB416" s="6"/>
      <c r="BC416" s="6"/>
      <c r="BD416" s="6"/>
      <c r="BE416" s="6"/>
      <c r="BF416" s="5"/>
      <c r="BG416" s="5"/>
      <c r="BH416" s="6"/>
      <c r="BI416" s="6"/>
      <c r="BJ416" s="6"/>
      <c r="BK416" s="6"/>
      <c r="BL416" s="6"/>
      <c r="BM416" s="6"/>
      <c r="BN416" s="6"/>
      <c r="BO416" s="6"/>
      <c r="BP416" s="6"/>
      <c r="BQ416" s="6"/>
    </row>
    <row r="417" spans="1:69" ht="28.8" x14ac:dyDescent="0.3">
      <c r="A417" s="129"/>
      <c r="B417" s="63">
        <v>414</v>
      </c>
      <c r="C417" s="57" t="s">
        <v>874</v>
      </c>
      <c r="D417" s="5" t="s">
        <v>4</v>
      </c>
      <c r="E417" s="5">
        <v>5</v>
      </c>
      <c r="F417" s="15" t="s">
        <v>873</v>
      </c>
      <c r="G417" s="8" t="s">
        <v>976</v>
      </c>
      <c r="H417" s="6"/>
      <c r="I417" s="6"/>
      <c r="J417" s="6"/>
      <c r="K417" s="6"/>
      <c r="L417" s="6"/>
      <c r="M417" s="6"/>
      <c r="N417" s="6"/>
      <c r="O417" s="6"/>
      <c r="P417" s="17">
        <v>43.14</v>
      </c>
      <c r="Q417" s="17">
        <f>P417*E417</f>
        <v>215.7</v>
      </c>
      <c r="R417" s="6"/>
      <c r="S417" s="6"/>
      <c r="T417" s="6"/>
      <c r="U417" s="6"/>
      <c r="V417" s="6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6"/>
      <c r="AQ417" s="6"/>
      <c r="AR417" s="6"/>
      <c r="AS417" s="6"/>
      <c r="AT417" s="6"/>
      <c r="AU417" s="6"/>
      <c r="AV417" s="7"/>
      <c r="AW417" s="7"/>
      <c r="AX417" s="7"/>
      <c r="AY417" s="7"/>
      <c r="AZ417" s="5"/>
      <c r="BA417" s="5"/>
      <c r="BB417" s="6"/>
      <c r="BC417" s="6"/>
      <c r="BD417" s="6"/>
      <c r="BE417" s="6"/>
      <c r="BF417" s="5"/>
      <c r="BG417" s="5"/>
      <c r="BH417" s="6"/>
      <c r="BI417" s="6"/>
      <c r="BJ417" s="6"/>
      <c r="BK417" s="6"/>
      <c r="BL417" s="6"/>
      <c r="BM417" s="6"/>
      <c r="BN417" s="6"/>
      <c r="BO417" s="6"/>
      <c r="BP417" s="6"/>
      <c r="BQ417" s="6"/>
    </row>
    <row r="418" spans="1:69" ht="43.2" x14ac:dyDescent="0.3">
      <c r="A418" s="129"/>
      <c r="B418" s="63">
        <v>415</v>
      </c>
      <c r="C418" s="57" t="s">
        <v>875</v>
      </c>
      <c r="D418" s="5" t="s">
        <v>4</v>
      </c>
      <c r="E418" s="5">
        <v>5</v>
      </c>
      <c r="F418" s="15" t="s">
        <v>876</v>
      </c>
      <c r="G418" s="8" t="s">
        <v>976</v>
      </c>
      <c r="H418" s="6"/>
      <c r="I418" s="6"/>
      <c r="J418" s="6"/>
      <c r="K418" s="6"/>
      <c r="L418" s="6"/>
      <c r="M418" s="6"/>
      <c r="N418" s="17">
        <v>75.33</v>
      </c>
      <c r="O418" s="17">
        <f>N418*E418</f>
        <v>376.65</v>
      </c>
      <c r="P418" s="6"/>
      <c r="Q418" s="6"/>
      <c r="R418" s="6"/>
      <c r="S418" s="6"/>
      <c r="T418" s="6"/>
      <c r="U418" s="6"/>
      <c r="V418" s="6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6"/>
      <c r="AQ418" s="6"/>
      <c r="AR418" s="6"/>
      <c r="AS418" s="6"/>
      <c r="AT418" s="6"/>
      <c r="AU418" s="6"/>
      <c r="AV418" s="7"/>
      <c r="AW418" s="7"/>
      <c r="AX418" s="7"/>
      <c r="AY418" s="7"/>
      <c r="AZ418" s="5"/>
      <c r="BA418" s="5"/>
      <c r="BB418" s="6"/>
      <c r="BC418" s="6"/>
      <c r="BD418" s="6"/>
      <c r="BE418" s="6"/>
      <c r="BF418" s="5"/>
      <c r="BG418" s="5"/>
      <c r="BH418" s="6"/>
      <c r="BI418" s="6"/>
      <c r="BJ418" s="6"/>
      <c r="BK418" s="6"/>
      <c r="BL418" s="6"/>
      <c r="BM418" s="6"/>
      <c r="BN418" s="6"/>
      <c r="BO418" s="6"/>
      <c r="BP418" s="6"/>
      <c r="BQ418" s="6"/>
    </row>
    <row r="419" spans="1:69" ht="28.8" x14ac:dyDescent="0.3">
      <c r="A419" s="129"/>
      <c r="B419" s="63">
        <v>416</v>
      </c>
      <c r="C419" s="57" t="s">
        <v>878</v>
      </c>
      <c r="D419" s="5" t="s">
        <v>4</v>
      </c>
      <c r="E419" s="5">
        <v>5</v>
      </c>
      <c r="F419" s="15" t="s">
        <v>877</v>
      </c>
      <c r="G419" s="8" t="s">
        <v>976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17">
        <v>4.12</v>
      </c>
      <c r="Y419" s="17">
        <f>X419*E419</f>
        <v>20.6</v>
      </c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6"/>
      <c r="AQ419" s="6"/>
      <c r="AR419" s="6"/>
      <c r="AS419" s="6"/>
      <c r="AT419" s="6"/>
      <c r="AU419" s="6"/>
      <c r="AV419" s="7"/>
      <c r="AW419" s="7"/>
      <c r="AX419" s="7"/>
      <c r="AY419" s="7"/>
      <c r="AZ419" s="5"/>
      <c r="BA419" s="5"/>
      <c r="BB419" s="6"/>
      <c r="BC419" s="6"/>
      <c r="BD419" s="6"/>
      <c r="BE419" s="6"/>
      <c r="BF419" s="5"/>
      <c r="BG419" s="5"/>
      <c r="BH419" s="6"/>
      <c r="BI419" s="6"/>
      <c r="BJ419" s="6"/>
      <c r="BK419" s="6"/>
      <c r="BL419" s="6"/>
      <c r="BM419" s="6"/>
      <c r="BN419" s="6"/>
      <c r="BO419" s="6"/>
      <c r="BP419" s="6"/>
      <c r="BQ419" s="6"/>
    </row>
    <row r="420" spans="1:69" ht="28.8" x14ac:dyDescent="0.3">
      <c r="A420" s="129"/>
      <c r="B420" s="63">
        <v>417</v>
      </c>
      <c r="C420" s="57" t="s">
        <v>880</v>
      </c>
      <c r="D420" s="5" t="s">
        <v>4</v>
      </c>
      <c r="E420" s="5">
        <v>10</v>
      </c>
      <c r="F420" s="15" t="s">
        <v>879</v>
      </c>
      <c r="G420" s="8" t="s">
        <v>976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17">
        <v>1.05</v>
      </c>
      <c r="U420" s="17">
        <f>T420*E420</f>
        <v>10.5</v>
      </c>
      <c r="V420" s="6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6"/>
      <c r="AQ420" s="6"/>
      <c r="AR420" s="6"/>
      <c r="AS420" s="6"/>
      <c r="AT420" s="6"/>
      <c r="AU420" s="6"/>
      <c r="AV420" s="7"/>
      <c r="AW420" s="7"/>
      <c r="AX420" s="7"/>
      <c r="AY420" s="7"/>
      <c r="AZ420" s="5"/>
      <c r="BA420" s="5"/>
      <c r="BB420" s="6"/>
      <c r="BC420" s="6"/>
      <c r="BD420" s="6"/>
      <c r="BE420" s="6"/>
      <c r="BF420" s="5"/>
      <c r="BG420" s="5"/>
      <c r="BH420" s="6"/>
      <c r="BI420" s="6"/>
      <c r="BJ420" s="6"/>
      <c r="BK420" s="6"/>
      <c r="BL420" s="6"/>
      <c r="BM420" s="6"/>
      <c r="BN420" s="6"/>
      <c r="BO420" s="6"/>
      <c r="BP420" s="6"/>
      <c r="BQ420" s="6"/>
    </row>
    <row r="421" spans="1:69" ht="57.6" x14ac:dyDescent="0.3">
      <c r="A421" s="129"/>
      <c r="B421" s="63">
        <v>418</v>
      </c>
      <c r="C421" s="57" t="s">
        <v>882</v>
      </c>
      <c r="D421" s="5" t="s">
        <v>4</v>
      </c>
      <c r="E421" s="5">
        <v>10</v>
      </c>
      <c r="F421" s="15" t="s">
        <v>881</v>
      </c>
      <c r="G421" s="8" t="s">
        <v>976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6"/>
      <c r="AQ421" s="6"/>
      <c r="AR421" s="6"/>
      <c r="AS421" s="6"/>
      <c r="AT421" s="6"/>
      <c r="AU421" s="6"/>
      <c r="AV421" s="7"/>
      <c r="AW421" s="7"/>
      <c r="AX421" s="7"/>
      <c r="AY421" s="7"/>
      <c r="AZ421" s="5"/>
      <c r="BA421" s="5"/>
      <c r="BB421" s="6"/>
      <c r="BC421" s="6"/>
      <c r="BD421" s="6"/>
      <c r="BE421" s="6"/>
      <c r="BF421" s="5"/>
      <c r="BG421" s="5"/>
      <c r="BH421" s="6"/>
      <c r="BI421" s="6"/>
      <c r="BJ421" s="6"/>
      <c r="BK421" s="6"/>
      <c r="BL421" s="6"/>
      <c r="BM421" s="6"/>
      <c r="BN421" s="6"/>
      <c r="BO421" s="6"/>
      <c r="BP421" s="6"/>
      <c r="BQ421" s="6"/>
    </row>
    <row r="422" spans="1:69" ht="28.8" x14ac:dyDescent="0.3">
      <c r="A422" s="129"/>
      <c r="B422" s="63">
        <v>419</v>
      </c>
      <c r="C422" s="57" t="s">
        <v>884</v>
      </c>
      <c r="D422" s="5" t="s">
        <v>4</v>
      </c>
      <c r="E422" s="5">
        <v>10</v>
      </c>
      <c r="F422" s="15" t="s">
        <v>883</v>
      </c>
      <c r="G422" s="8" t="s">
        <v>976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17">
        <v>0.5</v>
      </c>
      <c r="U422" s="17">
        <f>T422*E422</f>
        <v>5</v>
      </c>
      <c r="V422" s="6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6"/>
      <c r="AQ422" s="6"/>
      <c r="AR422" s="6"/>
      <c r="AS422" s="6"/>
      <c r="AT422" s="6"/>
      <c r="AU422" s="6"/>
      <c r="AV422" s="7"/>
      <c r="AW422" s="7"/>
      <c r="AX422" s="7"/>
      <c r="AY422" s="7"/>
      <c r="AZ422" s="5"/>
      <c r="BA422" s="5"/>
      <c r="BB422" s="6"/>
      <c r="BC422" s="6"/>
      <c r="BD422" s="6"/>
      <c r="BE422" s="6"/>
      <c r="BF422" s="5"/>
      <c r="BG422" s="5"/>
      <c r="BH422" s="6"/>
      <c r="BI422" s="6"/>
      <c r="BJ422" s="6"/>
      <c r="BK422" s="6"/>
      <c r="BL422" s="6"/>
      <c r="BM422" s="6"/>
      <c r="BN422" s="6"/>
      <c r="BO422" s="6"/>
      <c r="BP422" s="6"/>
      <c r="BQ422" s="6"/>
    </row>
    <row r="423" spans="1:69" ht="43.2" x14ac:dyDescent="0.3">
      <c r="A423" s="129"/>
      <c r="B423" s="63">
        <v>420</v>
      </c>
      <c r="C423" s="57" t="s">
        <v>886</v>
      </c>
      <c r="D423" s="5" t="s">
        <v>4</v>
      </c>
      <c r="E423" s="5">
        <v>10</v>
      </c>
      <c r="F423" s="15" t="s">
        <v>885</v>
      </c>
      <c r="G423" s="8" t="s">
        <v>976</v>
      </c>
      <c r="H423" s="6"/>
      <c r="I423" s="6"/>
      <c r="J423" s="6"/>
      <c r="K423" s="6"/>
      <c r="L423" s="6"/>
      <c r="M423" s="6"/>
      <c r="N423" s="6"/>
      <c r="O423" s="6"/>
      <c r="P423" s="17">
        <v>18.07</v>
      </c>
      <c r="Q423" s="17">
        <f>P423*E423</f>
        <v>180.7</v>
      </c>
      <c r="R423" s="6"/>
      <c r="S423" s="6"/>
      <c r="T423" s="6"/>
      <c r="U423" s="6"/>
      <c r="V423" s="6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6"/>
      <c r="AQ423" s="6"/>
      <c r="AR423" s="6"/>
      <c r="AS423" s="6"/>
      <c r="AT423" s="6"/>
      <c r="AU423" s="6"/>
      <c r="AV423" s="7"/>
      <c r="AW423" s="7"/>
      <c r="AX423" s="7"/>
      <c r="AY423" s="7"/>
      <c r="AZ423" s="5"/>
      <c r="BA423" s="5"/>
      <c r="BB423" s="6"/>
      <c r="BC423" s="6"/>
      <c r="BD423" s="6"/>
      <c r="BE423" s="6"/>
      <c r="BF423" s="5"/>
      <c r="BG423" s="5"/>
      <c r="BH423" s="6"/>
      <c r="BI423" s="6"/>
      <c r="BJ423" s="6"/>
      <c r="BK423" s="6"/>
      <c r="BL423" s="6"/>
      <c r="BM423" s="6"/>
      <c r="BN423" s="6"/>
      <c r="BO423" s="6"/>
      <c r="BP423" s="6"/>
      <c r="BQ423" s="6"/>
    </row>
    <row r="424" spans="1:69" x14ac:dyDescent="0.3">
      <c r="A424" s="129"/>
      <c r="B424" s="63">
        <v>421</v>
      </c>
      <c r="C424" s="57" t="s">
        <v>887</v>
      </c>
      <c r="D424" s="5" t="s">
        <v>4</v>
      </c>
      <c r="E424" s="5">
        <v>20</v>
      </c>
      <c r="F424" s="15" t="s">
        <v>888</v>
      </c>
      <c r="G424" s="8" t="s">
        <v>976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17">
        <v>1.88</v>
      </c>
      <c r="U424" s="17">
        <f>T424*E424</f>
        <v>37.599999999999994</v>
      </c>
      <c r="V424" s="6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6"/>
      <c r="AQ424" s="6"/>
      <c r="AR424" s="6"/>
      <c r="AS424" s="6"/>
      <c r="AT424" s="6"/>
      <c r="AU424" s="6"/>
      <c r="AV424" s="7"/>
      <c r="AW424" s="7"/>
      <c r="AX424" s="7"/>
      <c r="AY424" s="7"/>
      <c r="AZ424" s="5"/>
      <c r="BA424" s="5"/>
      <c r="BB424" s="6"/>
      <c r="BC424" s="6"/>
      <c r="BD424" s="6"/>
      <c r="BE424" s="6"/>
      <c r="BF424" s="5"/>
      <c r="BG424" s="5"/>
      <c r="BH424" s="6"/>
      <c r="BI424" s="6"/>
      <c r="BJ424" s="6"/>
      <c r="BK424" s="6"/>
      <c r="BL424" s="6"/>
      <c r="BM424" s="6"/>
      <c r="BN424" s="6"/>
      <c r="BO424" s="6"/>
      <c r="BP424" s="6"/>
      <c r="BQ424" s="6"/>
    </row>
    <row r="425" spans="1:69" ht="28.8" x14ac:dyDescent="0.3">
      <c r="A425" s="129"/>
      <c r="B425" s="63">
        <v>422</v>
      </c>
      <c r="C425" s="57" t="s">
        <v>890</v>
      </c>
      <c r="D425" s="5" t="s">
        <v>4</v>
      </c>
      <c r="E425" s="5">
        <v>50</v>
      </c>
      <c r="F425" s="15" t="s">
        <v>889</v>
      </c>
      <c r="G425" s="8" t="s">
        <v>976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17">
        <v>1.88</v>
      </c>
      <c r="U425" s="17">
        <f>T425*E425</f>
        <v>94</v>
      </c>
      <c r="V425" s="6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6"/>
      <c r="AQ425" s="6"/>
      <c r="AR425" s="6"/>
      <c r="AS425" s="6"/>
      <c r="AT425" s="6"/>
      <c r="AU425" s="6"/>
      <c r="AV425" s="7"/>
      <c r="AW425" s="7"/>
      <c r="AX425" s="7"/>
      <c r="AY425" s="7"/>
      <c r="AZ425" s="5"/>
      <c r="BA425" s="5"/>
      <c r="BB425" s="6"/>
      <c r="BC425" s="6"/>
      <c r="BD425" s="6"/>
      <c r="BE425" s="6"/>
      <c r="BF425" s="5"/>
      <c r="BG425" s="5"/>
      <c r="BH425" s="6"/>
      <c r="BI425" s="6"/>
      <c r="BJ425" s="6"/>
      <c r="BK425" s="6"/>
      <c r="BL425" s="6"/>
      <c r="BM425" s="6"/>
      <c r="BN425" s="6"/>
      <c r="BO425" s="6"/>
      <c r="BP425" s="6"/>
      <c r="BQ425" s="6"/>
    </row>
    <row r="426" spans="1:69" ht="28.8" x14ac:dyDescent="0.3">
      <c r="A426" s="129"/>
      <c r="B426" s="63">
        <v>423</v>
      </c>
      <c r="C426" s="57" t="s">
        <v>892</v>
      </c>
      <c r="D426" s="5" t="s">
        <v>4</v>
      </c>
      <c r="E426" s="5">
        <v>20</v>
      </c>
      <c r="F426" s="15" t="s">
        <v>891</v>
      </c>
      <c r="G426" s="8" t="s">
        <v>976</v>
      </c>
      <c r="H426" s="6"/>
      <c r="I426" s="6"/>
      <c r="J426" s="6"/>
      <c r="K426" s="6"/>
      <c r="L426" s="6"/>
      <c r="M426" s="6"/>
      <c r="N426" s="6"/>
      <c r="O426" s="6"/>
      <c r="P426" s="17">
        <v>0.28000000000000003</v>
      </c>
      <c r="Q426" s="17">
        <f>P426*E426</f>
        <v>5.6000000000000005</v>
      </c>
      <c r="R426" s="6"/>
      <c r="S426" s="6"/>
      <c r="T426" s="6"/>
      <c r="U426" s="6"/>
      <c r="V426" s="6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6"/>
      <c r="AQ426" s="6"/>
      <c r="AR426" s="6"/>
      <c r="AS426" s="6"/>
      <c r="AT426" s="6"/>
      <c r="AU426" s="6"/>
      <c r="AV426" s="7"/>
      <c r="AW426" s="7"/>
      <c r="AX426" s="7"/>
      <c r="AY426" s="7"/>
      <c r="AZ426" s="5"/>
      <c r="BA426" s="5"/>
      <c r="BB426" s="6"/>
      <c r="BC426" s="6"/>
      <c r="BD426" s="6"/>
      <c r="BE426" s="6"/>
      <c r="BF426" s="5"/>
      <c r="BG426" s="5"/>
      <c r="BH426" s="6"/>
      <c r="BI426" s="6"/>
      <c r="BJ426" s="6"/>
      <c r="BK426" s="6"/>
      <c r="BL426" s="6"/>
      <c r="BM426" s="6"/>
      <c r="BN426" s="6"/>
      <c r="BO426" s="6"/>
      <c r="BP426" s="6"/>
      <c r="BQ426" s="6"/>
    </row>
    <row r="427" spans="1:69" ht="43.2" x14ac:dyDescent="0.3">
      <c r="A427" s="129"/>
      <c r="B427" s="63">
        <v>424</v>
      </c>
      <c r="C427" s="57" t="s">
        <v>894</v>
      </c>
      <c r="D427" s="5" t="s">
        <v>4</v>
      </c>
      <c r="E427" s="5">
        <v>20</v>
      </c>
      <c r="F427" s="15" t="s">
        <v>893</v>
      </c>
      <c r="G427" s="8" t="s">
        <v>976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6"/>
      <c r="AQ427" s="6"/>
      <c r="AR427" s="6"/>
      <c r="AS427" s="6"/>
      <c r="AT427" s="6"/>
      <c r="AU427" s="6"/>
      <c r="AV427" s="7"/>
      <c r="AW427" s="7"/>
      <c r="AX427" s="7"/>
      <c r="AY427" s="7"/>
      <c r="AZ427" s="5"/>
      <c r="BA427" s="5"/>
      <c r="BB427" s="6"/>
      <c r="BC427" s="6"/>
      <c r="BD427" s="6"/>
      <c r="BE427" s="6"/>
      <c r="BF427" s="5"/>
      <c r="BG427" s="5"/>
      <c r="BH427" s="6"/>
      <c r="BI427" s="6"/>
      <c r="BJ427" s="17">
        <v>1.8</v>
      </c>
      <c r="BK427" s="17">
        <f>BJ427*E427</f>
        <v>36</v>
      </c>
      <c r="BL427" s="6"/>
      <c r="BM427" s="6"/>
      <c r="BN427" s="6"/>
      <c r="BO427" s="6"/>
      <c r="BP427" s="6"/>
      <c r="BQ427" s="6"/>
    </row>
    <row r="428" spans="1:69" ht="57.6" x14ac:dyDescent="0.3">
      <c r="A428" s="129"/>
      <c r="B428" s="63">
        <v>425</v>
      </c>
      <c r="C428" s="57" t="s">
        <v>896</v>
      </c>
      <c r="D428" s="5" t="s">
        <v>4</v>
      </c>
      <c r="E428" s="5">
        <v>20</v>
      </c>
      <c r="F428" s="13" t="s">
        <v>895</v>
      </c>
      <c r="G428" s="8" t="s">
        <v>976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6"/>
      <c r="AQ428" s="6"/>
      <c r="AR428" s="17">
        <v>4.55</v>
      </c>
      <c r="AS428" s="17">
        <f>AR428*E428</f>
        <v>91</v>
      </c>
      <c r="AT428" s="6"/>
      <c r="AU428" s="6"/>
      <c r="AV428" s="7"/>
      <c r="AW428" s="7"/>
      <c r="AX428" s="7"/>
      <c r="AY428" s="7"/>
      <c r="AZ428" s="5"/>
      <c r="BA428" s="5"/>
      <c r="BB428" s="6"/>
      <c r="BC428" s="6"/>
      <c r="BD428" s="6"/>
      <c r="BE428" s="6"/>
      <c r="BF428" s="5"/>
      <c r="BG428" s="5"/>
      <c r="BH428" s="6"/>
      <c r="BI428" s="6"/>
      <c r="BJ428" s="6"/>
      <c r="BK428" s="6"/>
      <c r="BL428" s="6"/>
      <c r="BM428" s="6"/>
      <c r="BN428" s="6"/>
      <c r="BO428" s="6"/>
      <c r="BP428" s="6"/>
      <c r="BQ428" s="6"/>
    </row>
    <row r="429" spans="1:69" ht="115.2" x14ac:dyDescent="0.3">
      <c r="A429" s="129"/>
      <c r="B429" s="63">
        <v>426</v>
      </c>
      <c r="C429" s="57" t="s">
        <v>898</v>
      </c>
      <c r="D429" s="5" t="s">
        <v>4</v>
      </c>
      <c r="E429" s="5">
        <v>20</v>
      </c>
      <c r="F429" s="15" t="s">
        <v>897</v>
      </c>
      <c r="G429" s="8" t="s">
        <v>976</v>
      </c>
      <c r="H429" s="6"/>
      <c r="I429" s="6"/>
      <c r="J429" s="6"/>
      <c r="K429" s="6"/>
      <c r="L429" s="6"/>
      <c r="M429" s="6"/>
      <c r="N429" s="6"/>
      <c r="O429" s="6"/>
      <c r="P429" s="17">
        <v>0.43</v>
      </c>
      <c r="Q429" s="17">
        <f>P429*E429</f>
        <v>8.6</v>
      </c>
      <c r="R429" s="6"/>
      <c r="S429" s="6"/>
      <c r="T429" s="6"/>
      <c r="U429" s="6"/>
      <c r="V429" s="6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6"/>
      <c r="AQ429" s="6"/>
      <c r="AR429" s="6"/>
      <c r="AS429" s="6"/>
      <c r="AT429" s="6"/>
      <c r="AU429" s="6"/>
      <c r="AV429" s="7"/>
      <c r="AW429" s="7"/>
      <c r="AX429" s="7"/>
      <c r="AY429" s="7"/>
      <c r="AZ429" s="5"/>
      <c r="BA429" s="5"/>
      <c r="BB429" s="6"/>
      <c r="BC429" s="6"/>
      <c r="BD429" s="6"/>
      <c r="BE429" s="6"/>
      <c r="BF429" s="5"/>
      <c r="BG429" s="5"/>
      <c r="BH429" s="6"/>
      <c r="BI429" s="6"/>
      <c r="BJ429" s="6"/>
      <c r="BK429" s="6"/>
      <c r="BL429" s="6"/>
      <c r="BM429" s="6"/>
      <c r="BN429" s="6"/>
      <c r="BO429" s="6"/>
      <c r="BP429" s="6"/>
      <c r="BQ429" s="6"/>
    </row>
    <row r="430" spans="1:69" ht="28.8" x14ac:dyDescent="0.3">
      <c r="A430" s="129"/>
      <c r="B430" s="63">
        <v>427</v>
      </c>
      <c r="C430" s="57" t="s">
        <v>900</v>
      </c>
      <c r="D430" s="5" t="s">
        <v>4</v>
      </c>
      <c r="E430" s="5">
        <v>20</v>
      </c>
      <c r="F430" s="15" t="s">
        <v>899</v>
      </c>
      <c r="G430" s="8" t="s">
        <v>976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6"/>
      <c r="AQ430" s="6"/>
      <c r="AR430" s="6"/>
      <c r="AS430" s="6"/>
      <c r="AT430" s="6"/>
      <c r="AU430" s="6"/>
      <c r="AV430" s="7"/>
      <c r="AW430" s="7"/>
      <c r="AX430" s="7"/>
      <c r="AY430" s="7"/>
      <c r="AZ430" s="5"/>
      <c r="BA430" s="5"/>
      <c r="BB430" s="6"/>
      <c r="BC430" s="6"/>
      <c r="BD430" s="17">
        <v>3.82</v>
      </c>
      <c r="BE430" s="17">
        <f>BD430*E430</f>
        <v>76.399999999999991</v>
      </c>
      <c r="BF430" s="5"/>
      <c r="BG430" s="5"/>
      <c r="BH430" s="6"/>
      <c r="BI430" s="6"/>
      <c r="BJ430" s="6"/>
      <c r="BK430" s="6"/>
      <c r="BL430" s="6"/>
      <c r="BM430" s="6"/>
      <c r="BN430" s="6"/>
      <c r="BO430" s="6"/>
      <c r="BP430" s="6"/>
      <c r="BQ430" s="6"/>
    </row>
    <row r="431" spans="1:69" ht="28.8" x14ac:dyDescent="0.3">
      <c r="A431" s="129"/>
      <c r="B431" s="63">
        <v>428</v>
      </c>
      <c r="C431" s="57" t="s">
        <v>902</v>
      </c>
      <c r="D431" s="5" t="s">
        <v>4</v>
      </c>
      <c r="E431" s="5">
        <v>20</v>
      </c>
      <c r="F431" s="15" t="s">
        <v>901</v>
      </c>
      <c r="G431" s="8" t="s">
        <v>976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17">
        <v>12.57</v>
      </c>
      <c r="Y431" s="17">
        <f>X431*E431</f>
        <v>251.4</v>
      </c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6"/>
      <c r="AQ431" s="6"/>
      <c r="AR431" s="6"/>
      <c r="AS431" s="6"/>
      <c r="AT431" s="6"/>
      <c r="AU431" s="6"/>
      <c r="AV431" s="7"/>
      <c r="AW431" s="7"/>
      <c r="AX431" s="7"/>
      <c r="AY431" s="7"/>
      <c r="AZ431" s="5"/>
      <c r="BA431" s="5"/>
      <c r="BB431" s="6"/>
      <c r="BC431" s="6"/>
      <c r="BD431" s="6"/>
      <c r="BE431" s="6"/>
      <c r="BF431" s="5"/>
      <c r="BG431" s="5"/>
      <c r="BH431" s="6"/>
      <c r="BI431" s="6"/>
      <c r="BJ431" s="6"/>
      <c r="BK431" s="6"/>
      <c r="BL431" s="6"/>
      <c r="BM431" s="6"/>
      <c r="BN431" s="6"/>
      <c r="BO431" s="6"/>
      <c r="BP431" s="6"/>
      <c r="BQ431" s="6"/>
    </row>
    <row r="432" spans="1:69" ht="28.8" x14ac:dyDescent="0.3">
      <c r="A432" s="129"/>
      <c r="B432" s="63">
        <v>429</v>
      </c>
      <c r="C432" s="57" t="s">
        <v>904</v>
      </c>
      <c r="D432" s="5" t="s">
        <v>4</v>
      </c>
      <c r="E432" s="5">
        <v>20</v>
      </c>
      <c r="F432" s="15" t="s">
        <v>903</v>
      </c>
      <c r="G432" s="8" t="s">
        <v>976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6"/>
      <c r="AQ432" s="6"/>
      <c r="AR432" s="6"/>
      <c r="AS432" s="6"/>
      <c r="AT432" s="6"/>
      <c r="AU432" s="6"/>
      <c r="AV432" s="7"/>
      <c r="AW432" s="7"/>
      <c r="AX432" s="7"/>
      <c r="AY432" s="7"/>
      <c r="AZ432" s="5"/>
      <c r="BA432" s="5"/>
      <c r="BB432" s="6"/>
      <c r="BC432" s="6"/>
      <c r="BD432" s="6"/>
      <c r="BE432" s="6"/>
      <c r="BF432" s="5"/>
      <c r="BG432" s="5"/>
      <c r="BH432" s="6"/>
      <c r="BI432" s="6"/>
      <c r="BJ432" s="17">
        <v>3.24</v>
      </c>
      <c r="BK432" s="17">
        <f>BJ432*E432</f>
        <v>64.800000000000011</v>
      </c>
      <c r="BL432" s="6"/>
      <c r="BM432" s="6"/>
      <c r="BN432" s="6"/>
      <c r="BO432" s="6"/>
      <c r="BP432" s="6"/>
      <c r="BQ432" s="6"/>
    </row>
    <row r="433" spans="1:69" x14ac:dyDescent="0.3">
      <c r="A433" s="129"/>
      <c r="B433" s="63">
        <v>430</v>
      </c>
      <c r="C433" s="57" t="s">
        <v>905</v>
      </c>
      <c r="D433" s="5" t="s">
        <v>4</v>
      </c>
      <c r="E433" s="5">
        <v>20</v>
      </c>
      <c r="F433" s="60" t="s">
        <v>906</v>
      </c>
      <c r="G433" s="8" t="s">
        <v>976</v>
      </c>
      <c r="H433" s="114" t="s">
        <v>997</v>
      </c>
      <c r="I433" s="6"/>
      <c r="J433" s="6"/>
      <c r="K433" s="6"/>
      <c r="L433" s="6"/>
      <c r="M433" s="6"/>
      <c r="N433" s="6"/>
      <c r="O433" s="6"/>
      <c r="P433" s="17">
        <v>8.09</v>
      </c>
      <c r="Q433" s="17">
        <f>P433*E433</f>
        <v>161.80000000000001</v>
      </c>
      <c r="R433" s="6"/>
      <c r="S433" s="6"/>
      <c r="T433" s="6"/>
      <c r="U433" s="6"/>
      <c r="V433" s="6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6"/>
      <c r="AQ433" s="6"/>
      <c r="AR433" s="6"/>
      <c r="AS433" s="6"/>
      <c r="AT433" s="6"/>
      <c r="AU433" s="6"/>
      <c r="AV433" s="7"/>
      <c r="AW433" s="7"/>
      <c r="AX433" s="7"/>
      <c r="AY433" s="7"/>
      <c r="AZ433" s="5"/>
      <c r="BA433" s="5"/>
      <c r="BB433" s="6"/>
      <c r="BC433" s="6"/>
      <c r="BD433" s="6"/>
      <c r="BE433" s="6"/>
      <c r="BF433" s="5"/>
      <c r="BG433" s="5"/>
      <c r="BH433" s="6"/>
      <c r="BI433" s="6"/>
      <c r="BJ433" s="6"/>
      <c r="BK433" s="6"/>
      <c r="BL433" s="6"/>
      <c r="BM433" s="6"/>
      <c r="BN433" s="6"/>
      <c r="BO433" s="6"/>
      <c r="BP433" s="6"/>
      <c r="BQ433" s="6"/>
    </row>
    <row r="434" spans="1:69" ht="28.8" x14ac:dyDescent="0.3">
      <c r="A434" s="129"/>
      <c r="B434" s="63">
        <v>431</v>
      </c>
      <c r="C434" s="57" t="s">
        <v>908</v>
      </c>
      <c r="D434" s="5" t="s">
        <v>4</v>
      </c>
      <c r="E434" s="5">
        <v>20</v>
      </c>
      <c r="F434" s="15" t="s">
        <v>907</v>
      </c>
      <c r="G434" s="8" t="s">
        <v>976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17">
        <v>2.96</v>
      </c>
      <c r="AI434" s="17">
        <f>AH434*E434</f>
        <v>59.2</v>
      </c>
      <c r="AJ434" s="5"/>
      <c r="AK434" s="5"/>
      <c r="AL434" s="5"/>
      <c r="AM434" s="5"/>
      <c r="AN434" s="5"/>
      <c r="AO434" s="5"/>
      <c r="AP434" s="6"/>
      <c r="AQ434" s="6"/>
      <c r="AR434" s="6"/>
      <c r="AS434" s="6"/>
      <c r="AT434" s="6"/>
      <c r="AU434" s="6"/>
      <c r="AV434" s="7"/>
      <c r="AW434" s="7"/>
      <c r="AX434" s="7"/>
      <c r="AY434" s="7"/>
      <c r="AZ434" s="5"/>
      <c r="BA434" s="5"/>
      <c r="BB434" s="6"/>
      <c r="BC434" s="6"/>
      <c r="BD434" s="6"/>
      <c r="BE434" s="6"/>
      <c r="BF434" s="5"/>
      <c r="BG434" s="5"/>
      <c r="BH434" s="6"/>
      <c r="BI434" s="6"/>
      <c r="BJ434" s="6"/>
      <c r="BK434" s="6"/>
      <c r="BL434" s="6"/>
      <c r="BM434" s="6"/>
      <c r="BN434" s="6"/>
      <c r="BO434" s="6"/>
      <c r="BP434" s="6"/>
      <c r="BQ434" s="6"/>
    </row>
    <row r="435" spans="1:69" x14ac:dyDescent="0.3">
      <c r="A435" s="129"/>
      <c r="B435" s="63">
        <v>432</v>
      </c>
      <c r="C435" s="57" t="s">
        <v>909</v>
      </c>
      <c r="D435" s="5" t="s">
        <v>4</v>
      </c>
      <c r="E435" s="5">
        <v>3</v>
      </c>
      <c r="F435" s="15" t="s">
        <v>728</v>
      </c>
      <c r="G435" s="8" t="s">
        <v>976</v>
      </c>
      <c r="H435" s="6"/>
      <c r="I435" s="6"/>
      <c r="J435" s="6"/>
      <c r="K435" s="6"/>
      <c r="L435" s="6"/>
      <c r="M435" s="6"/>
      <c r="N435" s="6"/>
      <c r="O435" s="6"/>
      <c r="P435" s="17">
        <v>35.049999999999997</v>
      </c>
      <c r="Q435" s="17">
        <f>P435*E435</f>
        <v>105.14999999999999</v>
      </c>
      <c r="R435" s="6"/>
      <c r="S435" s="6"/>
      <c r="T435" s="6"/>
      <c r="U435" s="6"/>
      <c r="V435" s="6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6"/>
      <c r="AQ435" s="6"/>
      <c r="AR435" s="6"/>
      <c r="AS435" s="6"/>
      <c r="AT435" s="6"/>
      <c r="AU435" s="6"/>
      <c r="AV435" s="7"/>
      <c r="AW435" s="7"/>
      <c r="AX435" s="7"/>
      <c r="AY435" s="7"/>
      <c r="AZ435" s="5"/>
      <c r="BA435" s="5"/>
      <c r="BB435" s="6"/>
      <c r="BC435" s="6"/>
      <c r="BD435" s="6"/>
      <c r="BE435" s="6"/>
      <c r="BF435" s="5"/>
      <c r="BG435" s="5"/>
      <c r="BH435" s="6"/>
      <c r="BI435" s="6"/>
      <c r="BJ435" s="6"/>
      <c r="BK435" s="6"/>
      <c r="BL435" s="6"/>
      <c r="BM435" s="6"/>
      <c r="BN435" s="6"/>
      <c r="BO435" s="6"/>
      <c r="BP435" s="6"/>
      <c r="BQ435" s="6"/>
    </row>
    <row r="436" spans="1:69" ht="115.2" x14ac:dyDescent="0.3">
      <c r="A436" s="129"/>
      <c r="B436" s="63">
        <v>433</v>
      </c>
      <c r="C436" s="57" t="s">
        <v>911</v>
      </c>
      <c r="D436" s="5" t="s">
        <v>4</v>
      </c>
      <c r="E436" s="5">
        <v>10</v>
      </c>
      <c r="F436" s="15" t="s">
        <v>910</v>
      </c>
      <c r="G436" s="8" t="s">
        <v>976</v>
      </c>
      <c r="H436" s="6"/>
      <c r="I436" s="6"/>
      <c r="J436" s="6"/>
      <c r="K436" s="6"/>
      <c r="L436" s="6"/>
      <c r="M436" s="6"/>
      <c r="N436" s="6"/>
      <c r="O436" s="6"/>
      <c r="P436" s="17">
        <v>4.38</v>
      </c>
      <c r="Q436" s="17">
        <f>P436*E436</f>
        <v>43.8</v>
      </c>
      <c r="R436" s="6"/>
      <c r="S436" s="6"/>
      <c r="T436" s="6"/>
      <c r="U436" s="6"/>
      <c r="V436" s="6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6"/>
      <c r="AQ436" s="6"/>
      <c r="AR436" s="6"/>
      <c r="AS436" s="6"/>
      <c r="AT436" s="6"/>
      <c r="AU436" s="6"/>
      <c r="AV436" s="7"/>
      <c r="AW436" s="7"/>
      <c r="AX436" s="7"/>
      <c r="AY436" s="7"/>
      <c r="AZ436" s="5"/>
      <c r="BA436" s="5"/>
      <c r="BB436" s="6"/>
      <c r="BC436" s="6"/>
      <c r="BD436" s="6"/>
      <c r="BE436" s="6"/>
      <c r="BF436" s="5"/>
      <c r="BG436" s="5"/>
      <c r="BH436" s="6"/>
      <c r="BI436" s="6"/>
      <c r="BJ436" s="6"/>
      <c r="BK436" s="6"/>
      <c r="BL436" s="6"/>
      <c r="BM436" s="6"/>
      <c r="BN436" s="6"/>
      <c r="BO436" s="6"/>
      <c r="BP436" s="6"/>
      <c r="BQ436" s="6"/>
    </row>
    <row r="437" spans="1:69" ht="100.8" x14ac:dyDescent="0.3">
      <c r="A437" s="129"/>
      <c r="B437" s="63">
        <v>434</v>
      </c>
      <c r="C437" s="57" t="s">
        <v>912</v>
      </c>
      <c r="D437" s="5" t="s">
        <v>4</v>
      </c>
      <c r="E437" s="5">
        <v>10</v>
      </c>
      <c r="F437" s="15" t="s">
        <v>913</v>
      </c>
      <c r="G437" s="8" t="s">
        <v>976</v>
      </c>
      <c r="H437" s="114" t="s">
        <v>997</v>
      </c>
      <c r="I437" s="6"/>
      <c r="J437" s="6"/>
      <c r="K437" s="6"/>
      <c r="L437" s="6"/>
      <c r="M437" s="6"/>
      <c r="N437" s="6"/>
      <c r="O437" s="6"/>
      <c r="P437" s="17">
        <v>4.8499999999999996</v>
      </c>
      <c r="Q437" s="17">
        <f>P437*E437</f>
        <v>48.5</v>
      </c>
      <c r="R437" s="6"/>
      <c r="S437" s="6"/>
      <c r="T437" s="6"/>
      <c r="U437" s="6"/>
      <c r="V437" s="6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6"/>
      <c r="AQ437" s="6"/>
      <c r="AR437" s="6"/>
      <c r="AS437" s="6"/>
      <c r="AT437" s="6"/>
      <c r="AU437" s="6"/>
      <c r="AV437" s="7"/>
      <c r="AW437" s="7"/>
      <c r="AX437" s="7"/>
      <c r="AY437" s="7"/>
      <c r="AZ437" s="5"/>
      <c r="BA437" s="5"/>
      <c r="BB437" s="6"/>
      <c r="BC437" s="6"/>
      <c r="BD437" s="6"/>
      <c r="BE437" s="6"/>
      <c r="BF437" s="5"/>
      <c r="BG437" s="5"/>
      <c r="BH437" s="6"/>
      <c r="BI437" s="6"/>
      <c r="BJ437" s="6"/>
      <c r="BK437" s="6"/>
      <c r="BL437" s="6"/>
      <c r="BM437" s="6"/>
      <c r="BN437" s="6"/>
      <c r="BO437" s="6"/>
      <c r="BP437" s="6"/>
      <c r="BQ437" s="6"/>
    </row>
    <row r="438" spans="1:69" ht="28.8" x14ac:dyDescent="0.3">
      <c r="A438" s="129"/>
      <c r="B438" s="63">
        <v>435</v>
      </c>
      <c r="C438" s="57" t="s">
        <v>914</v>
      </c>
      <c r="D438" s="5" t="s">
        <v>4</v>
      </c>
      <c r="E438" s="5">
        <v>20</v>
      </c>
      <c r="F438" s="15" t="s">
        <v>582</v>
      </c>
      <c r="G438" s="8" t="s">
        <v>976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17">
        <v>4.1399999999999997</v>
      </c>
      <c r="AI438" s="17">
        <f>AH438*E438</f>
        <v>82.8</v>
      </c>
      <c r="AJ438" s="5"/>
      <c r="AK438" s="5"/>
      <c r="AL438" s="5"/>
      <c r="AM438" s="5"/>
      <c r="AN438" s="5"/>
      <c r="AO438" s="5"/>
      <c r="AP438" s="6"/>
      <c r="AQ438" s="6"/>
      <c r="AR438" s="6"/>
      <c r="AS438" s="6"/>
      <c r="AT438" s="6"/>
      <c r="AU438" s="6"/>
      <c r="AV438" s="7"/>
      <c r="AW438" s="7"/>
      <c r="AX438" s="7"/>
      <c r="AY438" s="7"/>
      <c r="AZ438" s="5"/>
      <c r="BA438" s="5"/>
      <c r="BB438" s="6"/>
      <c r="BC438" s="6"/>
      <c r="BD438" s="6"/>
      <c r="BE438" s="6"/>
      <c r="BF438" s="5"/>
      <c r="BG438" s="5"/>
      <c r="BH438" s="6"/>
      <c r="BI438" s="6"/>
      <c r="BJ438" s="6"/>
      <c r="BK438" s="6"/>
      <c r="BL438" s="6"/>
      <c r="BM438" s="6"/>
      <c r="BN438" s="6"/>
      <c r="BO438" s="6"/>
      <c r="BP438" s="6"/>
      <c r="BQ438" s="6"/>
    </row>
    <row r="439" spans="1:69" ht="57.6" x14ac:dyDescent="0.3">
      <c r="A439" s="129"/>
      <c r="B439" s="63">
        <v>436</v>
      </c>
      <c r="C439" s="57" t="s">
        <v>916</v>
      </c>
      <c r="D439" s="5" t="s">
        <v>4</v>
      </c>
      <c r="E439" s="5">
        <v>5</v>
      </c>
      <c r="F439" s="15" t="s">
        <v>915</v>
      </c>
      <c r="G439" s="8" t="s">
        <v>976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6"/>
      <c r="AQ439" s="6"/>
      <c r="AR439" s="6"/>
      <c r="AS439" s="6"/>
      <c r="AT439" s="6"/>
      <c r="AU439" s="6"/>
      <c r="AV439" s="7"/>
      <c r="AW439" s="7"/>
      <c r="AX439" s="110">
        <v>102.8</v>
      </c>
      <c r="AY439" s="110">
        <f>AX439*E439</f>
        <v>514</v>
      </c>
      <c r="AZ439" s="5"/>
      <c r="BA439" s="5"/>
      <c r="BB439" s="6"/>
      <c r="BC439" s="6"/>
      <c r="BD439" s="6"/>
      <c r="BE439" s="6"/>
      <c r="BF439" s="5"/>
      <c r="BG439" s="5"/>
      <c r="BH439" s="6"/>
      <c r="BI439" s="6"/>
      <c r="BJ439" s="6"/>
      <c r="BK439" s="6"/>
      <c r="BL439" s="6"/>
      <c r="BM439" s="6"/>
      <c r="BN439" s="6"/>
      <c r="BO439" s="6"/>
      <c r="BP439" s="6"/>
      <c r="BQ439" s="6"/>
    </row>
    <row r="440" spans="1:69" x14ac:dyDescent="0.3">
      <c r="A440" s="129"/>
      <c r="B440" s="63">
        <v>437</v>
      </c>
      <c r="C440" s="57" t="s">
        <v>918</v>
      </c>
      <c r="D440" s="5" t="s">
        <v>4</v>
      </c>
      <c r="E440" s="5">
        <v>5</v>
      </c>
      <c r="F440" s="15" t="s">
        <v>917</v>
      </c>
      <c r="G440" s="8" t="s">
        <v>976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17">
        <v>9.32</v>
      </c>
      <c r="U440" s="17">
        <f>T440*E440</f>
        <v>46.6</v>
      </c>
      <c r="V440" s="6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6"/>
      <c r="AQ440" s="6"/>
      <c r="AR440" s="6"/>
      <c r="AS440" s="6"/>
      <c r="AT440" s="6"/>
      <c r="AU440" s="6"/>
      <c r="AV440" s="7"/>
      <c r="AW440" s="7"/>
      <c r="AX440" s="7"/>
      <c r="AY440" s="7"/>
      <c r="AZ440" s="5"/>
      <c r="BA440" s="5"/>
      <c r="BB440" s="6"/>
      <c r="BC440" s="6"/>
      <c r="BD440" s="6"/>
      <c r="BE440" s="6"/>
      <c r="BF440" s="5"/>
      <c r="BG440" s="5"/>
      <c r="BH440" s="6"/>
      <c r="BI440" s="6"/>
      <c r="BJ440" s="6"/>
      <c r="BK440" s="6"/>
      <c r="BL440" s="6"/>
      <c r="BM440" s="6"/>
      <c r="BN440" s="6"/>
      <c r="BO440" s="6"/>
      <c r="BP440" s="6"/>
      <c r="BQ440" s="6"/>
    </row>
    <row r="441" spans="1:69" x14ac:dyDescent="0.3">
      <c r="A441" s="129"/>
      <c r="B441" s="63">
        <v>438</v>
      </c>
      <c r="C441" s="57" t="s">
        <v>920</v>
      </c>
      <c r="D441" s="5" t="s">
        <v>4</v>
      </c>
      <c r="E441" s="5">
        <v>5</v>
      </c>
      <c r="F441" s="15" t="s">
        <v>919</v>
      </c>
      <c r="G441" s="8" t="s">
        <v>976</v>
      </c>
      <c r="H441" s="6"/>
      <c r="I441" s="6"/>
      <c r="J441" s="6"/>
      <c r="K441" s="6"/>
      <c r="L441" s="6"/>
      <c r="M441" s="6"/>
      <c r="N441" s="6"/>
      <c r="O441" s="6"/>
      <c r="P441" s="17">
        <v>37.75</v>
      </c>
      <c r="Q441" s="17">
        <f>P441*E441</f>
        <v>188.75</v>
      </c>
      <c r="R441" s="6"/>
      <c r="S441" s="6"/>
      <c r="T441" s="6"/>
      <c r="U441" s="6"/>
      <c r="V441" s="6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6"/>
      <c r="AQ441" s="6"/>
      <c r="AR441" s="6"/>
      <c r="AS441" s="6"/>
      <c r="AT441" s="6"/>
      <c r="AU441" s="6"/>
      <c r="AV441" s="7"/>
      <c r="AW441" s="7"/>
      <c r="AX441" s="7"/>
      <c r="AY441" s="7"/>
      <c r="AZ441" s="5"/>
      <c r="BA441" s="5"/>
      <c r="BB441" s="6"/>
      <c r="BC441" s="6"/>
      <c r="BD441" s="6"/>
      <c r="BE441" s="6"/>
      <c r="BF441" s="5"/>
      <c r="BG441" s="5"/>
      <c r="BH441" s="6"/>
      <c r="BI441" s="6"/>
      <c r="BJ441" s="6"/>
      <c r="BK441" s="6"/>
      <c r="BL441" s="6"/>
      <c r="BM441" s="6"/>
      <c r="BN441" s="6"/>
      <c r="BO441" s="6"/>
      <c r="BP441" s="6"/>
      <c r="BQ441" s="6"/>
    </row>
    <row r="442" spans="1:69" ht="28.8" x14ac:dyDescent="0.3">
      <c r="A442" s="129"/>
      <c r="B442" s="63">
        <v>439</v>
      </c>
      <c r="C442" s="57" t="s">
        <v>922</v>
      </c>
      <c r="D442" s="5" t="s">
        <v>4</v>
      </c>
      <c r="E442" s="5">
        <v>5</v>
      </c>
      <c r="F442" s="15" t="s">
        <v>921</v>
      </c>
      <c r="G442" s="8" t="s">
        <v>976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17">
        <v>1.05</v>
      </c>
      <c r="U442" s="17">
        <f>T442*E442</f>
        <v>5.25</v>
      </c>
      <c r="V442" s="6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6"/>
      <c r="AQ442" s="6"/>
      <c r="AR442" s="6"/>
      <c r="AS442" s="6"/>
      <c r="AT442" s="6"/>
      <c r="AU442" s="6"/>
      <c r="AV442" s="7"/>
      <c r="AW442" s="7"/>
      <c r="AX442" s="7"/>
      <c r="AY442" s="7"/>
      <c r="AZ442" s="5"/>
      <c r="BA442" s="5"/>
      <c r="BB442" s="6"/>
      <c r="BC442" s="6"/>
      <c r="BD442" s="6"/>
      <c r="BE442" s="6"/>
      <c r="BF442" s="5"/>
      <c r="BG442" s="5"/>
      <c r="BH442" s="6"/>
      <c r="BI442" s="6"/>
      <c r="BJ442" s="6"/>
      <c r="BK442" s="6"/>
      <c r="BL442" s="6"/>
      <c r="BM442" s="6"/>
      <c r="BN442" s="6"/>
      <c r="BO442" s="6"/>
      <c r="BP442" s="6"/>
      <c r="BQ442" s="6"/>
    </row>
    <row r="443" spans="1:69" x14ac:dyDescent="0.3">
      <c r="A443" s="129"/>
      <c r="B443" s="63">
        <v>440</v>
      </c>
      <c r="C443" s="57" t="s">
        <v>924</v>
      </c>
      <c r="D443" s="5" t="s">
        <v>4</v>
      </c>
      <c r="E443" s="5">
        <v>20</v>
      </c>
      <c r="F443" s="15" t="s">
        <v>923</v>
      </c>
      <c r="G443" s="8" t="s">
        <v>976</v>
      </c>
      <c r="H443" s="6"/>
      <c r="I443" s="6"/>
      <c r="J443" s="6"/>
      <c r="K443" s="6"/>
      <c r="L443" s="6"/>
      <c r="M443" s="6"/>
      <c r="N443" s="6"/>
      <c r="O443" s="6"/>
      <c r="P443" s="17">
        <v>6.47</v>
      </c>
      <c r="Q443" s="17">
        <f>P443*E443</f>
        <v>129.4</v>
      </c>
      <c r="R443" s="6"/>
      <c r="S443" s="6"/>
      <c r="T443" s="6"/>
      <c r="U443" s="6"/>
      <c r="V443" s="6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6"/>
      <c r="AQ443" s="6"/>
      <c r="AR443" s="6"/>
      <c r="AS443" s="6"/>
      <c r="AT443" s="6"/>
      <c r="AU443" s="6"/>
      <c r="AV443" s="7"/>
      <c r="AW443" s="7"/>
      <c r="AX443" s="7"/>
      <c r="AY443" s="7"/>
      <c r="AZ443" s="5"/>
      <c r="BA443" s="5"/>
      <c r="BB443" s="6"/>
      <c r="BC443" s="6"/>
      <c r="BD443" s="6"/>
      <c r="BE443" s="6"/>
      <c r="BF443" s="5"/>
      <c r="BG443" s="5"/>
      <c r="BH443" s="6"/>
      <c r="BI443" s="6"/>
      <c r="BJ443" s="6"/>
      <c r="BK443" s="6"/>
      <c r="BL443" s="6"/>
      <c r="BM443" s="6"/>
      <c r="BN443" s="6"/>
      <c r="BO443" s="6"/>
      <c r="BP443" s="6"/>
      <c r="BQ443" s="6"/>
    </row>
    <row r="444" spans="1:69" ht="43.2" x14ac:dyDescent="0.3">
      <c r="A444" s="129"/>
      <c r="B444" s="63">
        <v>441</v>
      </c>
      <c r="C444" s="57" t="s">
        <v>646</v>
      </c>
      <c r="D444" s="5" t="s">
        <v>4</v>
      </c>
      <c r="E444" s="5">
        <v>10</v>
      </c>
      <c r="F444" s="15" t="s">
        <v>925</v>
      </c>
      <c r="G444" s="8" t="s">
        <v>976</v>
      </c>
      <c r="H444" s="6"/>
      <c r="I444" s="6"/>
      <c r="J444" s="6"/>
      <c r="K444" s="6"/>
      <c r="L444" s="6"/>
      <c r="M444" s="6"/>
      <c r="N444" s="17">
        <v>5.0199999999999996</v>
      </c>
      <c r="O444" s="17">
        <f>N444*E444</f>
        <v>50.199999999999996</v>
      </c>
      <c r="P444" s="6"/>
      <c r="Q444" s="6"/>
      <c r="R444" s="6"/>
      <c r="S444" s="6"/>
      <c r="T444" s="6"/>
      <c r="U444" s="6"/>
      <c r="V444" s="6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6"/>
      <c r="AQ444" s="6"/>
      <c r="AR444" s="6"/>
      <c r="AS444" s="6"/>
      <c r="AT444" s="6"/>
      <c r="AU444" s="6"/>
      <c r="AV444" s="7"/>
      <c r="AW444" s="7"/>
      <c r="AX444" s="7"/>
      <c r="AY444" s="7"/>
      <c r="AZ444" s="5"/>
      <c r="BA444" s="5"/>
      <c r="BB444" s="6"/>
      <c r="BC444" s="6"/>
      <c r="BD444" s="6"/>
      <c r="BE444" s="6"/>
      <c r="BF444" s="5"/>
      <c r="BG444" s="5"/>
      <c r="BH444" s="6"/>
      <c r="BI444" s="6"/>
      <c r="BJ444" s="6"/>
      <c r="BK444" s="6"/>
      <c r="BL444" s="6"/>
      <c r="BM444" s="6"/>
      <c r="BN444" s="6"/>
      <c r="BO444" s="6"/>
      <c r="BP444" s="6"/>
      <c r="BQ444" s="6"/>
    </row>
    <row r="445" spans="1:69" x14ac:dyDescent="0.3">
      <c r="A445" s="129"/>
      <c r="B445" s="63">
        <v>442</v>
      </c>
      <c r="C445" s="57" t="s">
        <v>927</v>
      </c>
      <c r="D445" s="5" t="s">
        <v>4</v>
      </c>
      <c r="E445" s="5">
        <v>10</v>
      </c>
      <c r="F445" s="15" t="s">
        <v>926</v>
      </c>
      <c r="G445" s="8" t="s">
        <v>976</v>
      </c>
      <c r="H445" s="6"/>
      <c r="I445" s="6"/>
      <c r="J445" s="6"/>
      <c r="K445" s="6"/>
      <c r="L445" s="6"/>
      <c r="M445" s="6"/>
      <c r="N445" s="6"/>
      <c r="O445" s="6"/>
      <c r="P445" s="17">
        <v>2.7</v>
      </c>
      <c r="Q445" s="17">
        <f>P445*E445</f>
        <v>27</v>
      </c>
      <c r="R445" s="6"/>
      <c r="S445" s="6"/>
      <c r="T445" s="6"/>
      <c r="U445" s="6"/>
      <c r="V445" s="6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6"/>
      <c r="AQ445" s="6"/>
      <c r="AR445" s="6"/>
      <c r="AS445" s="6"/>
      <c r="AT445" s="6"/>
      <c r="AU445" s="6"/>
      <c r="AV445" s="7"/>
      <c r="AW445" s="7"/>
      <c r="AX445" s="7"/>
      <c r="AY445" s="7"/>
      <c r="AZ445" s="5"/>
      <c r="BA445" s="5"/>
      <c r="BB445" s="6"/>
      <c r="BC445" s="6"/>
      <c r="BD445" s="6"/>
      <c r="BE445" s="6"/>
      <c r="BF445" s="5"/>
      <c r="BG445" s="5"/>
      <c r="BH445" s="6"/>
      <c r="BI445" s="6"/>
      <c r="BJ445" s="6"/>
      <c r="BK445" s="6"/>
      <c r="BL445" s="6"/>
      <c r="BM445" s="6"/>
      <c r="BN445" s="6"/>
      <c r="BO445" s="6"/>
      <c r="BP445" s="6"/>
      <c r="BQ445" s="6"/>
    </row>
    <row r="446" spans="1:69" x14ac:dyDescent="0.3">
      <c r="A446" s="129"/>
      <c r="B446" s="63">
        <v>443</v>
      </c>
      <c r="C446" s="57" t="s">
        <v>930</v>
      </c>
      <c r="D446" s="5" t="s">
        <v>4</v>
      </c>
      <c r="E446" s="5">
        <v>50</v>
      </c>
      <c r="F446" s="15" t="s">
        <v>928</v>
      </c>
      <c r="G446" s="8" t="s">
        <v>976</v>
      </c>
      <c r="H446" s="6"/>
      <c r="I446" s="6"/>
      <c r="J446" s="6"/>
      <c r="K446" s="6"/>
      <c r="L446" s="6"/>
      <c r="M446" s="6"/>
      <c r="N446" s="6"/>
      <c r="O446" s="6"/>
      <c r="P446" s="17">
        <v>0.97</v>
      </c>
      <c r="Q446" s="17">
        <f>P446*E446</f>
        <v>48.5</v>
      </c>
      <c r="R446" s="6"/>
      <c r="S446" s="6"/>
      <c r="T446" s="6"/>
      <c r="U446" s="6"/>
      <c r="V446" s="6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6"/>
      <c r="AQ446" s="6"/>
      <c r="AR446" s="6"/>
      <c r="AS446" s="6"/>
      <c r="AT446" s="6"/>
      <c r="AU446" s="6"/>
      <c r="AV446" s="7"/>
      <c r="AW446" s="7"/>
      <c r="AX446" s="7"/>
      <c r="AY446" s="7"/>
      <c r="AZ446" s="5"/>
      <c r="BA446" s="5"/>
      <c r="BB446" s="6"/>
      <c r="BC446" s="6"/>
      <c r="BD446" s="6"/>
      <c r="BE446" s="6"/>
      <c r="BF446" s="5"/>
      <c r="BG446" s="5"/>
      <c r="BH446" s="6"/>
      <c r="BI446" s="6"/>
      <c r="BJ446" s="6"/>
      <c r="BK446" s="6"/>
      <c r="BL446" s="6"/>
      <c r="BM446" s="6"/>
      <c r="BN446" s="6"/>
      <c r="BO446" s="6"/>
      <c r="BP446" s="6"/>
      <c r="BQ446" s="6"/>
    </row>
    <row r="447" spans="1:69" ht="43.2" x14ac:dyDescent="0.3">
      <c r="A447" s="129"/>
      <c r="B447" s="63">
        <v>444</v>
      </c>
      <c r="C447" s="57" t="s">
        <v>929</v>
      </c>
      <c r="D447" s="5" t="s">
        <v>4</v>
      </c>
      <c r="E447" s="5">
        <v>5</v>
      </c>
      <c r="F447" s="15" t="s">
        <v>931</v>
      </c>
      <c r="G447" s="8" t="s">
        <v>976</v>
      </c>
      <c r="H447" s="6"/>
      <c r="I447" s="6"/>
      <c r="J447" s="6"/>
      <c r="K447" s="6"/>
      <c r="L447" s="6"/>
      <c r="M447" s="6"/>
      <c r="N447" s="17">
        <v>7.25</v>
      </c>
      <c r="O447" s="17">
        <f t="shared" ref="O447:O452" si="16">N447*E447</f>
        <v>36.25</v>
      </c>
      <c r="P447" s="6"/>
      <c r="Q447" s="6"/>
      <c r="R447" s="6"/>
      <c r="S447" s="6"/>
      <c r="T447" s="6"/>
      <c r="U447" s="6"/>
      <c r="V447" s="6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6"/>
      <c r="AQ447" s="6"/>
      <c r="AR447" s="6"/>
      <c r="AS447" s="6"/>
      <c r="AT447" s="6"/>
      <c r="AU447" s="6"/>
      <c r="AV447" s="7"/>
      <c r="AW447" s="7"/>
      <c r="AX447" s="7"/>
      <c r="AY447" s="7"/>
      <c r="AZ447" s="5"/>
      <c r="BA447" s="5"/>
      <c r="BB447" s="6"/>
      <c r="BC447" s="6"/>
      <c r="BD447" s="6"/>
      <c r="BE447" s="6"/>
      <c r="BF447" s="5"/>
      <c r="BG447" s="5"/>
      <c r="BH447" s="6"/>
      <c r="BI447" s="6"/>
      <c r="BJ447" s="6"/>
      <c r="BK447" s="6"/>
      <c r="BL447" s="6"/>
      <c r="BM447" s="6"/>
      <c r="BN447" s="6"/>
      <c r="BO447" s="6"/>
      <c r="BP447" s="6"/>
      <c r="BQ447" s="6"/>
    </row>
    <row r="448" spans="1:69" ht="43.2" x14ac:dyDescent="0.3">
      <c r="A448" s="129"/>
      <c r="B448" s="63">
        <v>445</v>
      </c>
      <c r="C448" s="57" t="s">
        <v>933</v>
      </c>
      <c r="D448" s="5" t="s">
        <v>4</v>
      </c>
      <c r="E448" s="5">
        <v>5</v>
      </c>
      <c r="F448" s="15" t="s">
        <v>932</v>
      </c>
      <c r="G448" s="8" t="s">
        <v>976</v>
      </c>
      <c r="H448" s="6"/>
      <c r="I448" s="6"/>
      <c r="J448" s="6"/>
      <c r="K448" s="6"/>
      <c r="L448" s="6"/>
      <c r="M448" s="6"/>
      <c r="N448" s="17">
        <v>2.79</v>
      </c>
      <c r="O448" s="17">
        <f t="shared" si="16"/>
        <v>13.95</v>
      </c>
      <c r="P448" s="6"/>
      <c r="Q448" s="6"/>
      <c r="R448" s="6"/>
      <c r="S448" s="6"/>
      <c r="T448" s="6"/>
      <c r="U448" s="6"/>
      <c r="V448" s="6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6"/>
      <c r="AQ448" s="6"/>
      <c r="AR448" s="6"/>
      <c r="AS448" s="6"/>
      <c r="AT448" s="6"/>
      <c r="AU448" s="6"/>
      <c r="AV448" s="7"/>
      <c r="AW448" s="7"/>
      <c r="AX448" s="7"/>
      <c r="AY448" s="7"/>
      <c r="AZ448" s="5"/>
      <c r="BA448" s="5"/>
      <c r="BB448" s="6"/>
      <c r="BC448" s="6"/>
      <c r="BD448" s="6"/>
      <c r="BE448" s="6"/>
      <c r="BF448" s="5"/>
      <c r="BG448" s="5"/>
      <c r="BH448" s="6"/>
      <c r="BI448" s="6"/>
      <c r="BJ448" s="6"/>
      <c r="BK448" s="6"/>
      <c r="BL448" s="6"/>
      <c r="BM448" s="6"/>
      <c r="BN448" s="6"/>
      <c r="BO448" s="6"/>
      <c r="BP448" s="6"/>
      <c r="BQ448" s="6"/>
    </row>
    <row r="449" spans="1:69" ht="43.2" x14ac:dyDescent="0.3">
      <c r="A449" s="129"/>
      <c r="B449" s="63">
        <v>446</v>
      </c>
      <c r="C449" s="57" t="s">
        <v>935</v>
      </c>
      <c r="D449" s="5" t="s">
        <v>4</v>
      </c>
      <c r="E449" s="5">
        <v>5</v>
      </c>
      <c r="F449" s="15" t="s">
        <v>934</v>
      </c>
      <c r="G449" s="8" t="s">
        <v>976</v>
      </c>
      <c r="H449" s="6"/>
      <c r="I449" s="6"/>
      <c r="J449" s="6"/>
      <c r="K449" s="6"/>
      <c r="L449" s="6"/>
      <c r="M449" s="6"/>
      <c r="N449" s="17">
        <v>2.79</v>
      </c>
      <c r="O449" s="17">
        <f t="shared" si="16"/>
        <v>13.95</v>
      </c>
      <c r="P449" s="6"/>
      <c r="Q449" s="6"/>
      <c r="R449" s="6"/>
      <c r="S449" s="6"/>
      <c r="T449" s="6"/>
      <c r="U449" s="6"/>
      <c r="V449" s="6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6"/>
      <c r="AQ449" s="6"/>
      <c r="AR449" s="6"/>
      <c r="AS449" s="6"/>
      <c r="AT449" s="6"/>
      <c r="AU449" s="6"/>
      <c r="AV449" s="7"/>
      <c r="AW449" s="7"/>
      <c r="AX449" s="7"/>
      <c r="AY449" s="7"/>
      <c r="AZ449" s="5"/>
      <c r="BA449" s="5"/>
      <c r="BB449" s="6"/>
      <c r="BC449" s="6"/>
      <c r="BD449" s="6"/>
      <c r="BE449" s="6"/>
      <c r="BF449" s="5"/>
      <c r="BG449" s="5"/>
      <c r="BH449" s="6"/>
      <c r="BI449" s="6"/>
      <c r="BJ449" s="6"/>
      <c r="BK449" s="6"/>
      <c r="BL449" s="6"/>
      <c r="BM449" s="6"/>
      <c r="BN449" s="6"/>
      <c r="BO449" s="6"/>
      <c r="BP449" s="6"/>
      <c r="BQ449" s="6"/>
    </row>
    <row r="450" spans="1:69" ht="43.2" x14ac:dyDescent="0.3">
      <c r="A450" s="129"/>
      <c r="B450" s="63">
        <v>447</v>
      </c>
      <c r="C450" s="57" t="s">
        <v>937</v>
      </c>
      <c r="D450" s="5" t="s">
        <v>4</v>
      </c>
      <c r="E450" s="5">
        <v>5</v>
      </c>
      <c r="F450" s="15" t="s">
        <v>936</v>
      </c>
      <c r="G450" s="8" t="s">
        <v>976</v>
      </c>
      <c r="H450" s="6"/>
      <c r="I450" s="6"/>
      <c r="J450" s="6"/>
      <c r="K450" s="6"/>
      <c r="L450" s="6"/>
      <c r="M450" s="6"/>
      <c r="N450" s="17">
        <v>2.79</v>
      </c>
      <c r="O450" s="17">
        <f t="shared" si="16"/>
        <v>13.95</v>
      </c>
      <c r="P450" s="6"/>
      <c r="Q450" s="6"/>
      <c r="R450" s="6"/>
      <c r="S450" s="6"/>
      <c r="T450" s="6"/>
      <c r="U450" s="6"/>
      <c r="V450" s="6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6"/>
      <c r="AQ450" s="6"/>
      <c r="AR450" s="6"/>
      <c r="AS450" s="6"/>
      <c r="AT450" s="6"/>
      <c r="AU450" s="6"/>
      <c r="AV450" s="7"/>
      <c r="AW450" s="7"/>
      <c r="AX450" s="7"/>
      <c r="AY450" s="7"/>
      <c r="AZ450" s="5"/>
      <c r="BA450" s="5"/>
      <c r="BB450" s="6"/>
      <c r="BC450" s="6"/>
      <c r="BD450" s="6"/>
      <c r="BE450" s="6"/>
      <c r="BF450" s="5"/>
      <c r="BG450" s="5"/>
      <c r="BH450" s="6"/>
      <c r="BI450" s="6"/>
      <c r="BJ450" s="6"/>
      <c r="BK450" s="6"/>
      <c r="BL450" s="6"/>
      <c r="BM450" s="6"/>
      <c r="BN450" s="6"/>
      <c r="BO450" s="6"/>
      <c r="BP450" s="6"/>
      <c r="BQ450" s="6"/>
    </row>
    <row r="451" spans="1:69" ht="43.2" x14ac:dyDescent="0.3">
      <c r="A451" s="129"/>
      <c r="B451" s="63">
        <v>448</v>
      </c>
      <c r="C451" s="57" t="s">
        <v>938</v>
      </c>
      <c r="D451" s="5" t="s">
        <v>4</v>
      </c>
      <c r="E451" s="5">
        <v>5</v>
      </c>
      <c r="F451" s="15" t="s">
        <v>939</v>
      </c>
      <c r="G451" s="8" t="s">
        <v>976</v>
      </c>
      <c r="H451" s="6"/>
      <c r="I451" s="6"/>
      <c r="J451" s="6"/>
      <c r="K451" s="6"/>
      <c r="L451" s="6"/>
      <c r="M451" s="6"/>
      <c r="N451" s="17">
        <v>2.79</v>
      </c>
      <c r="O451" s="17">
        <f t="shared" si="16"/>
        <v>13.95</v>
      </c>
      <c r="P451" s="6"/>
      <c r="Q451" s="6"/>
      <c r="R451" s="6"/>
      <c r="S451" s="6"/>
      <c r="T451" s="6"/>
      <c r="U451" s="6"/>
      <c r="V451" s="6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6"/>
      <c r="AQ451" s="6"/>
      <c r="AR451" s="6"/>
      <c r="AS451" s="6"/>
      <c r="AT451" s="6"/>
      <c r="AU451" s="6"/>
      <c r="AV451" s="7"/>
      <c r="AW451" s="7"/>
      <c r="AX451" s="7"/>
      <c r="AY451" s="7"/>
      <c r="AZ451" s="5"/>
      <c r="BA451" s="5"/>
      <c r="BB451" s="6"/>
      <c r="BC451" s="6"/>
      <c r="BD451" s="6"/>
      <c r="BE451" s="6"/>
      <c r="BF451" s="5"/>
      <c r="BG451" s="5"/>
      <c r="BH451" s="6"/>
      <c r="BI451" s="6"/>
      <c r="BJ451" s="6"/>
      <c r="BK451" s="6"/>
      <c r="BL451" s="6"/>
      <c r="BM451" s="6"/>
      <c r="BN451" s="6"/>
      <c r="BO451" s="6"/>
      <c r="BP451" s="6"/>
      <c r="BQ451" s="6"/>
    </row>
    <row r="452" spans="1:69" ht="43.2" x14ac:dyDescent="0.3">
      <c r="A452" s="129"/>
      <c r="B452" s="63">
        <v>449</v>
      </c>
      <c r="C452" s="57" t="s">
        <v>941</v>
      </c>
      <c r="D452" s="5" t="s">
        <v>4</v>
      </c>
      <c r="E452" s="5">
        <v>5</v>
      </c>
      <c r="F452" s="15" t="s">
        <v>940</v>
      </c>
      <c r="G452" s="8" t="s">
        <v>976</v>
      </c>
      <c r="H452" s="6"/>
      <c r="I452" s="6"/>
      <c r="J452" s="6"/>
      <c r="K452" s="6"/>
      <c r="L452" s="6"/>
      <c r="M452" s="6"/>
      <c r="N452" s="17">
        <v>2.79</v>
      </c>
      <c r="O452" s="17">
        <f t="shared" si="16"/>
        <v>13.95</v>
      </c>
      <c r="P452" s="6"/>
      <c r="Q452" s="6"/>
      <c r="R452" s="6"/>
      <c r="S452" s="6"/>
      <c r="T452" s="6"/>
      <c r="U452" s="6"/>
      <c r="V452" s="6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6"/>
      <c r="AQ452" s="6"/>
      <c r="AR452" s="6"/>
      <c r="AS452" s="6"/>
      <c r="AT452" s="6"/>
      <c r="AU452" s="6"/>
      <c r="AV452" s="7"/>
      <c r="AW452" s="7"/>
      <c r="AX452" s="7"/>
      <c r="AY452" s="7"/>
      <c r="AZ452" s="5"/>
      <c r="BA452" s="5"/>
      <c r="BB452" s="6"/>
      <c r="BC452" s="6"/>
      <c r="BD452" s="6"/>
      <c r="BE452" s="6"/>
      <c r="BF452" s="5"/>
      <c r="BG452" s="5"/>
      <c r="BH452" s="6"/>
      <c r="BI452" s="6"/>
      <c r="BJ452" s="6"/>
      <c r="BK452" s="6"/>
      <c r="BL452" s="6"/>
      <c r="BM452" s="6"/>
      <c r="BN452" s="6"/>
      <c r="BO452" s="6"/>
      <c r="BP452" s="6"/>
      <c r="BQ452" s="6"/>
    </row>
    <row r="453" spans="1:69" ht="43.2" x14ac:dyDescent="0.3">
      <c r="A453" s="129"/>
      <c r="B453" s="63">
        <v>450</v>
      </c>
      <c r="C453" s="57" t="s">
        <v>943</v>
      </c>
      <c r="D453" s="5" t="s">
        <v>4</v>
      </c>
      <c r="E453" s="5">
        <v>10</v>
      </c>
      <c r="F453" s="15" t="s">
        <v>942</v>
      </c>
      <c r="G453" s="8" t="s">
        <v>976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6"/>
      <c r="AQ453" s="6"/>
      <c r="AR453" s="17">
        <v>59.19</v>
      </c>
      <c r="AS453" s="17">
        <f>AR453*E453</f>
        <v>591.9</v>
      </c>
      <c r="AT453" s="6"/>
      <c r="AU453" s="6"/>
      <c r="AV453" s="7"/>
      <c r="AW453" s="7"/>
      <c r="AX453" s="7"/>
      <c r="AY453" s="7"/>
      <c r="AZ453" s="5"/>
      <c r="BA453" s="5"/>
      <c r="BB453" s="6"/>
      <c r="BC453" s="6"/>
      <c r="BD453" s="6"/>
      <c r="BE453" s="6"/>
      <c r="BF453" s="5"/>
      <c r="BG453" s="5"/>
      <c r="BH453" s="6"/>
      <c r="BI453" s="6"/>
      <c r="BJ453" s="6"/>
      <c r="BK453" s="6"/>
      <c r="BL453" s="6"/>
      <c r="BM453" s="6"/>
      <c r="BN453" s="6"/>
      <c r="BO453" s="6"/>
      <c r="BP453" s="6"/>
      <c r="BQ453" s="6"/>
    </row>
    <row r="454" spans="1:69" ht="28.8" x14ac:dyDescent="0.3">
      <c r="A454" s="129"/>
      <c r="B454" s="63">
        <v>451</v>
      </c>
      <c r="C454" s="57" t="s">
        <v>945</v>
      </c>
      <c r="D454" s="5" t="s">
        <v>4</v>
      </c>
      <c r="E454" s="5">
        <v>5</v>
      </c>
      <c r="F454" s="15" t="s">
        <v>944</v>
      </c>
      <c r="G454" s="8" t="s">
        <v>976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17">
        <v>56.92</v>
      </c>
      <c r="AI454" s="17">
        <f>AH454*E454</f>
        <v>284.60000000000002</v>
      </c>
      <c r="AJ454" s="5"/>
      <c r="AK454" s="5"/>
      <c r="AL454" s="5"/>
      <c r="AM454" s="5"/>
      <c r="AN454" s="5"/>
      <c r="AO454" s="5"/>
      <c r="AP454" s="6"/>
      <c r="AQ454" s="6"/>
      <c r="AR454" s="6"/>
      <c r="AS454" s="6"/>
      <c r="AT454" s="6"/>
      <c r="AU454" s="6"/>
      <c r="AV454" s="7"/>
      <c r="AW454" s="7"/>
      <c r="AX454" s="7"/>
      <c r="AY454" s="7"/>
      <c r="AZ454" s="5"/>
      <c r="BA454" s="5"/>
      <c r="BB454" s="6"/>
      <c r="BC454" s="6"/>
      <c r="BD454" s="6"/>
      <c r="BE454" s="6"/>
      <c r="BF454" s="5"/>
      <c r="BG454" s="5"/>
      <c r="BH454" s="6"/>
      <c r="BI454" s="6"/>
      <c r="BJ454" s="6"/>
      <c r="BK454" s="6"/>
      <c r="BL454" s="6"/>
      <c r="BM454" s="6"/>
      <c r="BN454" s="6"/>
      <c r="BO454" s="6"/>
      <c r="BP454" s="6"/>
      <c r="BQ454" s="6"/>
    </row>
    <row r="455" spans="1:69" ht="43.2" x14ac:dyDescent="0.3">
      <c r="A455" s="129"/>
      <c r="B455" s="63">
        <v>452</v>
      </c>
      <c r="C455" s="57" t="s">
        <v>947</v>
      </c>
      <c r="D455" s="5" t="s">
        <v>4</v>
      </c>
      <c r="E455" s="5">
        <v>5</v>
      </c>
      <c r="F455" s="15" t="s">
        <v>946</v>
      </c>
      <c r="G455" s="8" t="s">
        <v>976</v>
      </c>
      <c r="H455" s="6"/>
      <c r="I455" s="6"/>
      <c r="J455" s="6"/>
      <c r="K455" s="6"/>
      <c r="L455" s="6"/>
      <c r="M455" s="6"/>
      <c r="N455" s="6"/>
      <c r="O455" s="6"/>
      <c r="P455" s="17">
        <v>40.44</v>
      </c>
      <c r="Q455" s="17">
        <f>P455*E455</f>
        <v>202.2</v>
      </c>
      <c r="R455" s="6"/>
      <c r="S455" s="6"/>
      <c r="T455" s="6"/>
      <c r="U455" s="6"/>
      <c r="V455" s="6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6"/>
      <c r="AQ455" s="6"/>
      <c r="AR455" s="6"/>
      <c r="AS455" s="6"/>
      <c r="AT455" s="6"/>
      <c r="AU455" s="6"/>
      <c r="AV455" s="7"/>
      <c r="AW455" s="7"/>
      <c r="AX455" s="7"/>
      <c r="AY455" s="7"/>
      <c r="AZ455" s="5"/>
      <c r="BA455" s="5"/>
      <c r="BB455" s="6"/>
      <c r="BC455" s="6"/>
      <c r="BD455" s="6"/>
      <c r="BE455" s="6"/>
      <c r="BF455" s="5"/>
      <c r="BG455" s="5"/>
      <c r="BH455" s="6"/>
      <c r="BI455" s="6"/>
      <c r="BJ455" s="6"/>
      <c r="BK455" s="6"/>
      <c r="BL455" s="6"/>
      <c r="BM455" s="6"/>
      <c r="BN455" s="6"/>
      <c r="BO455" s="6"/>
      <c r="BP455" s="6"/>
      <c r="BQ455" s="6"/>
    </row>
    <row r="456" spans="1:69" ht="57.6" x14ac:dyDescent="0.3">
      <c r="A456" s="129"/>
      <c r="B456" s="63">
        <v>453</v>
      </c>
      <c r="C456" s="57" t="s">
        <v>949</v>
      </c>
      <c r="D456" s="5" t="s">
        <v>4</v>
      </c>
      <c r="E456" s="5">
        <v>6</v>
      </c>
      <c r="F456" s="15" t="s">
        <v>948</v>
      </c>
      <c r="G456" s="8" t="s">
        <v>976</v>
      </c>
      <c r="H456" s="114" t="s">
        <v>1002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7">
        <v>214.11</v>
      </c>
      <c r="W456" s="17">
        <f>V456*E456</f>
        <v>1284.6600000000001</v>
      </c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6"/>
      <c r="AQ456" s="6"/>
      <c r="AR456" s="6"/>
      <c r="AS456" s="6"/>
      <c r="AT456" s="6"/>
      <c r="AU456" s="6"/>
      <c r="AV456" s="7"/>
      <c r="AW456" s="7"/>
      <c r="AX456" s="7"/>
      <c r="AY456" s="7"/>
      <c r="AZ456" s="5"/>
      <c r="BA456" s="5"/>
      <c r="BB456" s="6"/>
      <c r="BC456" s="6"/>
      <c r="BD456" s="6"/>
      <c r="BE456" s="6"/>
      <c r="BF456" s="5"/>
      <c r="BG456" s="5"/>
      <c r="BH456" s="6"/>
      <c r="BI456" s="6"/>
      <c r="BJ456" s="6"/>
      <c r="BK456" s="6"/>
      <c r="BL456" s="6"/>
      <c r="BM456" s="6"/>
      <c r="BN456" s="6"/>
      <c r="BO456" s="6"/>
      <c r="BP456" s="6"/>
      <c r="BQ456" s="6"/>
    </row>
    <row r="457" spans="1:69" ht="28.8" x14ac:dyDescent="0.3">
      <c r="A457" s="129"/>
      <c r="B457" s="63">
        <v>454</v>
      </c>
      <c r="C457" s="57" t="s">
        <v>951</v>
      </c>
      <c r="D457" s="5" t="s">
        <v>4</v>
      </c>
      <c r="E457" s="5">
        <v>6</v>
      </c>
      <c r="F457" s="15" t="s">
        <v>950</v>
      </c>
      <c r="G457" s="8" t="s">
        <v>976</v>
      </c>
      <c r="H457" s="6"/>
      <c r="I457" s="6"/>
      <c r="J457" s="6"/>
      <c r="K457" s="6"/>
      <c r="L457" s="6"/>
      <c r="M457" s="6"/>
      <c r="N457" s="6"/>
      <c r="O457" s="6"/>
      <c r="P457" s="17">
        <v>99.76</v>
      </c>
      <c r="Q457" s="17">
        <f>P457*E457</f>
        <v>598.56000000000006</v>
      </c>
      <c r="R457" s="6"/>
      <c r="S457" s="6"/>
      <c r="T457" s="6"/>
      <c r="U457" s="6"/>
      <c r="V457" s="6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6"/>
      <c r="AQ457" s="6"/>
      <c r="AR457" s="6"/>
      <c r="AS457" s="6"/>
      <c r="AT457" s="6"/>
      <c r="AU457" s="6"/>
      <c r="AV457" s="7"/>
      <c r="AW457" s="7"/>
      <c r="AX457" s="7"/>
      <c r="AY457" s="7"/>
      <c r="AZ457" s="5"/>
      <c r="BA457" s="5"/>
      <c r="BB457" s="6"/>
      <c r="BC457" s="6"/>
      <c r="BD457" s="6"/>
      <c r="BE457" s="6"/>
      <c r="BF457" s="5"/>
      <c r="BG457" s="5"/>
      <c r="BH457" s="6"/>
      <c r="BI457" s="6"/>
      <c r="BJ457" s="6"/>
      <c r="BK457" s="6"/>
      <c r="BL457" s="6"/>
      <c r="BM457" s="6"/>
      <c r="BN457" s="6"/>
      <c r="BO457" s="6"/>
      <c r="BP457" s="6"/>
      <c r="BQ457" s="6"/>
    </row>
    <row r="458" spans="1:69" ht="28.8" x14ac:dyDescent="0.3">
      <c r="A458" s="129"/>
      <c r="B458" s="63">
        <v>455</v>
      </c>
      <c r="C458" s="57" t="s">
        <v>952</v>
      </c>
      <c r="D458" s="5" t="s">
        <v>4</v>
      </c>
      <c r="E458" s="5">
        <v>6</v>
      </c>
      <c r="F458" s="15" t="s">
        <v>953</v>
      </c>
      <c r="G458" s="8" t="s">
        <v>976</v>
      </c>
      <c r="H458" s="6" t="s">
        <v>997</v>
      </c>
      <c r="I458" s="6"/>
      <c r="J458" s="6"/>
      <c r="K458" s="6"/>
      <c r="L458" s="6"/>
      <c r="M458" s="6"/>
      <c r="N458" s="6"/>
      <c r="O458" s="6"/>
      <c r="P458" s="17">
        <v>83.58</v>
      </c>
      <c r="Q458" s="17">
        <f>P458*E458</f>
        <v>501.48</v>
      </c>
      <c r="R458" s="6"/>
      <c r="S458" s="6"/>
      <c r="T458" s="6"/>
      <c r="U458" s="6"/>
      <c r="V458" s="6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6"/>
      <c r="AQ458" s="6"/>
      <c r="AR458" s="6"/>
      <c r="AS458" s="6"/>
      <c r="AT458" s="6"/>
      <c r="AU458" s="6"/>
      <c r="AV458" s="7"/>
      <c r="AW458" s="7"/>
      <c r="AX458" s="7"/>
      <c r="AY458" s="7"/>
      <c r="AZ458" s="5"/>
      <c r="BA458" s="5"/>
      <c r="BB458" s="6"/>
      <c r="BC458" s="6"/>
      <c r="BD458" s="6"/>
      <c r="BE458" s="6"/>
      <c r="BF458" s="5"/>
      <c r="BG458" s="5"/>
      <c r="BH458" s="6"/>
      <c r="BI458" s="6"/>
      <c r="BJ458" s="6"/>
      <c r="BK458" s="6"/>
      <c r="BL458" s="6"/>
      <c r="BM458" s="6"/>
      <c r="BN458" s="6"/>
      <c r="BO458" s="6"/>
      <c r="BP458" s="6"/>
      <c r="BQ458" s="6"/>
    </row>
    <row r="459" spans="1:69" ht="28.8" x14ac:dyDescent="0.3">
      <c r="A459" s="129"/>
      <c r="B459" s="63">
        <v>456</v>
      </c>
      <c r="C459" s="57" t="s">
        <v>955</v>
      </c>
      <c r="D459" s="5" t="s">
        <v>4</v>
      </c>
      <c r="E459" s="5">
        <v>6</v>
      </c>
      <c r="F459" s="15" t="s">
        <v>954</v>
      </c>
      <c r="G459" s="8" t="s">
        <v>976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17">
        <v>27.53</v>
      </c>
      <c r="AI459" s="17">
        <f>AH459*E459</f>
        <v>165.18</v>
      </c>
      <c r="AJ459" s="5"/>
      <c r="AK459" s="5"/>
      <c r="AL459" s="5"/>
      <c r="AM459" s="5"/>
      <c r="AN459" s="5"/>
      <c r="AO459" s="5"/>
      <c r="AP459" s="6"/>
      <c r="AQ459" s="6"/>
      <c r="AR459" s="6"/>
      <c r="AS459" s="6"/>
      <c r="AT459" s="6"/>
      <c r="AU459" s="6"/>
      <c r="AV459" s="7"/>
      <c r="AW459" s="7"/>
      <c r="AX459" s="7"/>
      <c r="AY459" s="7"/>
      <c r="AZ459" s="5"/>
      <c r="BA459" s="5"/>
      <c r="BB459" s="6"/>
      <c r="BC459" s="6"/>
      <c r="BD459" s="6"/>
      <c r="BE459" s="6"/>
      <c r="BF459" s="5"/>
      <c r="BG459" s="5"/>
      <c r="BH459" s="6"/>
      <c r="BI459" s="6"/>
      <c r="BJ459" s="6"/>
      <c r="BK459" s="6"/>
      <c r="BL459" s="6"/>
      <c r="BM459" s="6"/>
      <c r="BN459" s="6"/>
      <c r="BO459" s="6"/>
      <c r="BP459" s="6"/>
      <c r="BQ459" s="6"/>
    </row>
    <row r="460" spans="1:69" ht="15.6" x14ac:dyDescent="0.3">
      <c r="A460" s="129"/>
      <c r="B460" s="63">
        <v>457</v>
      </c>
      <c r="C460" s="113" t="s">
        <v>957</v>
      </c>
      <c r="D460" s="5" t="s">
        <v>4</v>
      </c>
      <c r="E460" s="5">
        <v>5</v>
      </c>
      <c r="F460" s="15" t="s">
        <v>956</v>
      </c>
      <c r="G460" s="8" t="s">
        <v>976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17">
        <v>22.79</v>
      </c>
      <c r="U460" s="17">
        <f>T460*E460</f>
        <v>113.94999999999999</v>
      </c>
      <c r="V460" s="6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6"/>
      <c r="AQ460" s="6"/>
      <c r="AR460" s="6"/>
      <c r="AS460" s="6"/>
      <c r="AT460" s="6"/>
      <c r="AU460" s="6"/>
      <c r="AV460" s="7"/>
      <c r="AW460" s="7"/>
      <c r="AX460" s="7"/>
      <c r="AY460" s="7"/>
      <c r="AZ460" s="5"/>
      <c r="BA460" s="5"/>
      <c r="BB460" s="6"/>
      <c r="BC460" s="6"/>
      <c r="BD460" s="6"/>
      <c r="BE460" s="6"/>
      <c r="BF460" s="5"/>
      <c r="BG460" s="5"/>
      <c r="BH460" s="6"/>
      <c r="BI460" s="6"/>
      <c r="BJ460" s="6"/>
      <c r="BK460" s="6"/>
      <c r="BL460" s="6"/>
      <c r="BM460" s="6"/>
      <c r="BN460" s="6"/>
      <c r="BO460" s="6"/>
      <c r="BP460" s="6"/>
      <c r="BQ460" s="6"/>
    </row>
    <row r="461" spans="1:69" ht="57.6" x14ac:dyDescent="0.3">
      <c r="A461" s="129"/>
      <c r="B461" s="63">
        <v>458</v>
      </c>
      <c r="C461" s="57" t="s">
        <v>959</v>
      </c>
      <c r="D461" s="5" t="s">
        <v>4</v>
      </c>
      <c r="E461" s="5">
        <v>3</v>
      </c>
      <c r="F461" s="15" t="s">
        <v>958</v>
      </c>
      <c r="G461" s="8" t="s">
        <v>976</v>
      </c>
      <c r="H461" s="6"/>
      <c r="I461" s="6"/>
      <c r="J461" s="6"/>
      <c r="K461" s="6"/>
      <c r="L461" s="6"/>
      <c r="M461" s="6"/>
      <c r="N461" s="17">
        <v>279</v>
      </c>
      <c r="O461" s="17">
        <f>N461*E461</f>
        <v>837</v>
      </c>
      <c r="P461" s="6"/>
      <c r="Q461" s="6"/>
      <c r="R461" s="6"/>
      <c r="S461" s="6"/>
      <c r="T461" s="6"/>
      <c r="U461" s="6"/>
      <c r="V461" s="6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6"/>
      <c r="AQ461" s="6"/>
      <c r="AR461" s="6"/>
      <c r="AS461" s="6"/>
      <c r="AT461" s="6"/>
      <c r="AU461" s="6"/>
      <c r="AV461" s="7"/>
      <c r="AW461" s="7"/>
      <c r="AX461" s="7"/>
      <c r="AY461" s="7"/>
      <c r="AZ461" s="5"/>
      <c r="BA461" s="5"/>
      <c r="BB461" s="6"/>
      <c r="BC461" s="6"/>
      <c r="BD461" s="6"/>
      <c r="BE461" s="6"/>
      <c r="BF461" s="5"/>
      <c r="BG461" s="5"/>
      <c r="BH461" s="6"/>
      <c r="BI461" s="6"/>
      <c r="BJ461" s="6"/>
      <c r="BK461" s="6"/>
      <c r="BL461" s="6"/>
      <c r="BM461" s="6"/>
      <c r="BN461" s="6"/>
      <c r="BO461" s="6"/>
      <c r="BP461" s="6"/>
      <c r="BQ461" s="6"/>
    </row>
    <row r="462" spans="1:69" ht="57.6" x14ac:dyDescent="0.3">
      <c r="A462" s="129"/>
      <c r="B462" s="63">
        <v>459</v>
      </c>
      <c r="C462" s="57" t="s">
        <v>961</v>
      </c>
      <c r="D462" s="5" t="s">
        <v>4</v>
      </c>
      <c r="E462" s="5">
        <v>3</v>
      </c>
      <c r="F462" s="15" t="s">
        <v>960</v>
      </c>
      <c r="G462" s="8" t="s">
        <v>976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6"/>
      <c r="AQ462" s="6"/>
      <c r="AR462" s="6"/>
      <c r="AS462" s="6"/>
      <c r="AT462" s="6"/>
      <c r="AU462" s="6"/>
      <c r="AV462" s="7"/>
      <c r="AW462" s="7"/>
      <c r="AX462" s="7"/>
      <c r="AY462" s="7"/>
      <c r="AZ462" s="5"/>
      <c r="BA462" s="5"/>
      <c r="BB462" s="6"/>
      <c r="BC462" s="6"/>
      <c r="BD462" s="6"/>
      <c r="BE462" s="6"/>
      <c r="BF462" s="5"/>
      <c r="BG462" s="5"/>
      <c r="BH462" s="6"/>
      <c r="BI462" s="6"/>
      <c r="BJ462" s="17">
        <v>31.32</v>
      </c>
      <c r="BK462" s="17">
        <f>BJ462*E462</f>
        <v>93.960000000000008</v>
      </c>
      <c r="BL462" s="6"/>
      <c r="BM462" s="6"/>
      <c r="BN462" s="6"/>
      <c r="BO462" s="6"/>
      <c r="BP462" s="6"/>
      <c r="BQ462" s="6"/>
    </row>
    <row r="463" spans="1:69" ht="28.8" x14ac:dyDescent="0.3">
      <c r="A463" s="129"/>
      <c r="B463" s="63">
        <v>460</v>
      </c>
      <c r="C463" s="57" t="s">
        <v>963</v>
      </c>
      <c r="D463" s="5" t="s">
        <v>4</v>
      </c>
      <c r="E463" s="5">
        <v>5</v>
      </c>
      <c r="F463" s="15" t="s">
        <v>962</v>
      </c>
      <c r="G463" s="8" t="s">
        <v>976</v>
      </c>
      <c r="H463" s="6"/>
      <c r="I463" s="6"/>
      <c r="J463" s="6"/>
      <c r="K463" s="6"/>
      <c r="L463" s="6"/>
      <c r="M463" s="6"/>
      <c r="N463" s="6"/>
      <c r="O463" s="6"/>
      <c r="P463" s="17">
        <v>26.96</v>
      </c>
      <c r="Q463" s="17">
        <f>P463*E463</f>
        <v>134.80000000000001</v>
      </c>
      <c r="R463" s="6"/>
      <c r="S463" s="6"/>
      <c r="T463" s="6"/>
      <c r="U463" s="6"/>
      <c r="V463" s="6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6"/>
      <c r="AQ463" s="6"/>
      <c r="AR463" s="6"/>
      <c r="AS463" s="6"/>
      <c r="AT463" s="6"/>
      <c r="AU463" s="6"/>
      <c r="AV463" s="7"/>
      <c r="AW463" s="7"/>
      <c r="AX463" s="7"/>
      <c r="AY463" s="7"/>
      <c r="AZ463" s="5"/>
      <c r="BA463" s="5"/>
      <c r="BB463" s="6"/>
      <c r="BC463" s="6"/>
      <c r="BD463" s="6"/>
      <c r="BE463" s="6"/>
      <c r="BF463" s="5"/>
      <c r="BG463" s="5"/>
      <c r="BH463" s="6"/>
      <c r="BI463" s="6"/>
      <c r="BJ463" s="6"/>
      <c r="BK463" s="6"/>
      <c r="BL463" s="6"/>
      <c r="BM463" s="6"/>
      <c r="BN463" s="6"/>
      <c r="BO463" s="6"/>
      <c r="BP463" s="6"/>
      <c r="BQ463" s="6"/>
    </row>
    <row r="464" spans="1:69" ht="57.6" x14ac:dyDescent="0.3">
      <c r="A464" s="129"/>
      <c r="B464" s="63">
        <v>461</v>
      </c>
      <c r="C464" s="57" t="s">
        <v>964</v>
      </c>
      <c r="D464" s="5" t="s">
        <v>4</v>
      </c>
      <c r="E464" s="5">
        <v>20</v>
      </c>
      <c r="F464" s="15" t="s">
        <v>965</v>
      </c>
      <c r="G464" s="8" t="s">
        <v>976</v>
      </c>
      <c r="H464" s="6"/>
      <c r="I464" s="6"/>
      <c r="J464" s="6"/>
      <c r="K464" s="6"/>
      <c r="L464" s="6"/>
      <c r="M464" s="6"/>
      <c r="N464" s="17">
        <v>1.67</v>
      </c>
      <c r="O464" s="17">
        <f>N464*E464</f>
        <v>33.4</v>
      </c>
      <c r="P464" s="6"/>
      <c r="Q464" s="6"/>
      <c r="R464" s="6"/>
      <c r="S464" s="6"/>
      <c r="T464" s="6"/>
      <c r="U464" s="6"/>
      <c r="V464" s="6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6"/>
      <c r="AQ464" s="6"/>
      <c r="AR464" s="6"/>
      <c r="AS464" s="6"/>
      <c r="AT464" s="6"/>
      <c r="AU464" s="6"/>
      <c r="AV464" s="7"/>
      <c r="AW464" s="7"/>
      <c r="AX464" s="7"/>
      <c r="AY464" s="7"/>
      <c r="AZ464" s="5"/>
      <c r="BA464" s="5"/>
      <c r="BB464" s="6"/>
      <c r="BC464" s="6"/>
      <c r="BD464" s="6"/>
      <c r="BE464" s="6"/>
      <c r="BF464" s="5"/>
      <c r="BG464" s="5"/>
      <c r="BH464" s="6"/>
      <c r="BI464" s="6"/>
      <c r="BJ464" s="6"/>
      <c r="BK464" s="6"/>
      <c r="BL464" s="6"/>
      <c r="BM464" s="6"/>
      <c r="BN464" s="6"/>
      <c r="BO464" s="6"/>
      <c r="BP464" s="6"/>
      <c r="BQ464" s="6"/>
    </row>
    <row r="465" spans="1:69" ht="56.4" customHeight="1" x14ac:dyDescent="0.3">
      <c r="A465" s="129"/>
      <c r="B465" s="63">
        <v>462</v>
      </c>
      <c r="C465" s="57" t="s">
        <v>967</v>
      </c>
      <c r="D465" s="5" t="s">
        <v>4</v>
      </c>
      <c r="E465" s="5">
        <v>20</v>
      </c>
      <c r="F465" s="15" t="s">
        <v>966</v>
      </c>
      <c r="G465" s="8" t="s">
        <v>976</v>
      </c>
      <c r="H465" s="6"/>
      <c r="I465" s="6"/>
      <c r="J465" s="6"/>
      <c r="K465" s="6"/>
      <c r="L465" s="6"/>
      <c r="M465" s="6"/>
      <c r="N465" s="17">
        <v>2.23</v>
      </c>
      <c r="O465" s="17">
        <f>N465*E465</f>
        <v>44.6</v>
      </c>
      <c r="P465" s="6"/>
      <c r="Q465" s="6"/>
      <c r="R465" s="6"/>
      <c r="S465" s="6"/>
      <c r="T465" s="6"/>
      <c r="U465" s="6"/>
      <c r="V465" s="6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6"/>
      <c r="AQ465" s="6"/>
      <c r="AR465" s="6"/>
      <c r="AS465" s="6"/>
      <c r="AT465" s="6"/>
      <c r="AU465" s="6"/>
      <c r="AV465" s="7"/>
      <c r="AW465" s="7"/>
      <c r="AX465" s="7"/>
      <c r="AY465" s="7"/>
      <c r="AZ465" s="5"/>
      <c r="BA465" s="5"/>
      <c r="BB465" s="6"/>
      <c r="BC465" s="6"/>
      <c r="BD465" s="6"/>
      <c r="BE465" s="6"/>
      <c r="BF465" s="5"/>
      <c r="BG465" s="5"/>
      <c r="BH465" s="6"/>
      <c r="BI465" s="6"/>
      <c r="BJ465" s="6"/>
      <c r="BK465" s="6"/>
      <c r="BL465" s="6"/>
      <c r="BM465" s="6"/>
      <c r="BN465" s="6"/>
      <c r="BO465" s="6"/>
      <c r="BP465" s="6"/>
      <c r="BQ465" s="6"/>
    </row>
    <row r="466" spans="1:69" ht="43.2" x14ac:dyDescent="0.3">
      <c r="A466" s="129"/>
      <c r="B466" s="63">
        <v>463</v>
      </c>
      <c r="C466" s="57" t="s">
        <v>969</v>
      </c>
      <c r="D466" s="5" t="s">
        <v>4</v>
      </c>
      <c r="E466" s="5">
        <v>5</v>
      </c>
      <c r="F466" s="15" t="s">
        <v>968</v>
      </c>
      <c r="G466" s="8" t="s">
        <v>976</v>
      </c>
      <c r="H466" s="6"/>
      <c r="I466" s="6"/>
      <c r="J466" s="6"/>
      <c r="K466" s="6"/>
      <c r="L466" s="6"/>
      <c r="M466" s="6"/>
      <c r="N466" s="17">
        <v>7.25</v>
      </c>
      <c r="O466" s="17">
        <f>N466*E466</f>
        <v>36.25</v>
      </c>
      <c r="P466" s="6"/>
      <c r="Q466" s="6"/>
      <c r="R466" s="6"/>
      <c r="S466" s="6"/>
      <c r="T466" s="6"/>
      <c r="U466" s="6"/>
      <c r="V466" s="6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6"/>
      <c r="AQ466" s="6"/>
      <c r="AR466" s="6"/>
      <c r="AS466" s="6"/>
      <c r="AT466" s="6"/>
      <c r="AU466" s="6"/>
      <c r="AV466" s="7"/>
      <c r="AW466" s="7"/>
      <c r="AX466" s="7"/>
      <c r="AY466" s="7"/>
      <c r="AZ466" s="5"/>
      <c r="BA466" s="5"/>
      <c r="BB466" s="6"/>
      <c r="BC466" s="6"/>
      <c r="BD466" s="6"/>
      <c r="BE466" s="6"/>
      <c r="BF466" s="5"/>
      <c r="BG466" s="5"/>
      <c r="BH466" s="6"/>
      <c r="BI466" s="6"/>
      <c r="BJ466" s="6"/>
      <c r="BK466" s="6"/>
      <c r="BL466" s="6"/>
      <c r="BM466" s="6"/>
      <c r="BN466" s="6"/>
      <c r="BO466" s="6"/>
      <c r="BP466" s="6"/>
      <c r="BQ466" s="6"/>
    </row>
    <row r="467" spans="1:69" ht="43.2" x14ac:dyDescent="0.3">
      <c r="A467" s="129"/>
      <c r="B467" s="63">
        <v>464</v>
      </c>
      <c r="C467" s="57" t="s">
        <v>971</v>
      </c>
      <c r="D467" s="5" t="s">
        <v>4</v>
      </c>
      <c r="E467" s="5">
        <v>20</v>
      </c>
      <c r="F467" s="15" t="s">
        <v>970</v>
      </c>
      <c r="G467" s="8" t="s">
        <v>976</v>
      </c>
      <c r="H467" s="6"/>
      <c r="I467" s="6"/>
      <c r="J467" s="6"/>
      <c r="K467" s="6"/>
      <c r="L467" s="6"/>
      <c r="M467" s="6"/>
      <c r="N467" s="6"/>
      <c r="O467" s="6"/>
      <c r="P467" s="17">
        <v>0.16</v>
      </c>
      <c r="Q467" s="17">
        <f>P467*E467</f>
        <v>3.2</v>
      </c>
      <c r="R467" s="6"/>
      <c r="S467" s="6"/>
      <c r="T467" s="6"/>
      <c r="U467" s="6"/>
      <c r="V467" s="6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6"/>
      <c r="AQ467" s="6"/>
      <c r="AR467" s="6"/>
      <c r="AS467" s="6"/>
      <c r="AT467" s="6"/>
      <c r="AU467" s="6"/>
      <c r="AV467" s="7"/>
      <c r="AW467" s="7"/>
      <c r="AX467" s="7"/>
      <c r="AY467" s="7"/>
      <c r="AZ467" s="5"/>
      <c r="BA467" s="5"/>
      <c r="BB467" s="6"/>
      <c r="BC467" s="6"/>
      <c r="BD467" s="6"/>
      <c r="BE467" s="6"/>
      <c r="BF467" s="5"/>
      <c r="BG467" s="5"/>
      <c r="BH467" s="6"/>
      <c r="BI467" s="6"/>
      <c r="BJ467" s="6"/>
      <c r="BK467" s="6"/>
      <c r="BL467" s="6"/>
      <c r="BM467" s="6"/>
      <c r="BN467" s="6"/>
      <c r="BO467" s="6"/>
      <c r="BP467" s="6"/>
      <c r="BQ467" s="6"/>
    </row>
    <row r="468" spans="1:69" ht="28.8" x14ac:dyDescent="0.3">
      <c r="A468" s="129"/>
      <c r="B468" s="63">
        <v>465</v>
      </c>
      <c r="C468" s="57" t="s">
        <v>972</v>
      </c>
      <c r="D468" s="5" t="s">
        <v>4</v>
      </c>
      <c r="E468" s="5">
        <v>5</v>
      </c>
      <c r="F468" s="15" t="s">
        <v>973</v>
      </c>
      <c r="G468" s="8" t="s">
        <v>976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17">
        <v>0.22</v>
      </c>
      <c r="U468" s="17">
        <f>T468*E468</f>
        <v>1.1000000000000001</v>
      </c>
      <c r="V468" s="6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6"/>
      <c r="AQ468" s="6"/>
      <c r="AR468" s="6"/>
      <c r="AS468" s="6"/>
      <c r="AT468" s="6"/>
      <c r="AU468" s="6"/>
      <c r="AV468" s="7"/>
      <c r="AW468" s="7"/>
      <c r="AX468" s="7"/>
      <c r="AY468" s="7"/>
      <c r="AZ468" s="5"/>
      <c r="BA468" s="5"/>
      <c r="BB468" s="6"/>
      <c r="BC468" s="6"/>
      <c r="BD468" s="6"/>
      <c r="BE468" s="6"/>
      <c r="BF468" s="5"/>
      <c r="BG468" s="5"/>
      <c r="BH468" s="6"/>
      <c r="BI468" s="6"/>
      <c r="BJ468" s="6"/>
      <c r="BK468" s="6"/>
      <c r="BL468" s="6"/>
      <c r="BM468" s="6"/>
      <c r="BN468" s="6"/>
      <c r="BO468" s="6"/>
      <c r="BP468" s="6"/>
      <c r="BQ468" s="6"/>
    </row>
    <row r="469" spans="1:69" ht="43.2" x14ac:dyDescent="0.3">
      <c r="A469" s="129"/>
      <c r="B469" s="63">
        <v>466</v>
      </c>
      <c r="C469" s="57" t="s">
        <v>688</v>
      </c>
      <c r="D469" s="5" t="s">
        <v>4</v>
      </c>
      <c r="E469" s="5">
        <v>3</v>
      </c>
      <c r="F469" s="15" t="s">
        <v>974</v>
      </c>
      <c r="G469" s="10" t="s">
        <v>975</v>
      </c>
      <c r="H469" s="114" t="s">
        <v>1004</v>
      </c>
      <c r="I469" s="6"/>
      <c r="J469" s="6"/>
      <c r="K469" s="6"/>
      <c r="L469" s="6"/>
      <c r="M469" s="6"/>
      <c r="N469" s="17">
        <v>139.5</v>
      </c>
      <c r="O469" s="17">
        <f>N469*E469</f>
        <v>418.5</v>
      </c>
      <c r="P469" s="6"/>
      <c r="Q469" s="6"/>
      <c r="R469" s="6"/>
      <c r="S469" s="6"/>
      <c r="T469" s="6"/>
      <c r="U469" s="6"/>
      <c r="V469" s="6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6"/>
      <c r="AQ469" s="6"/>
      <c r="AR469" s="6"/>
      <c r="AS469" s="6"/>
      <c r="AT469" s="6"/>
      <c r="AU469" s="6"/>
      <c r="AV469" s="7"/>
      <c r="AW469" s="7"/>
      <c r="AX469" s="7"/>
      <c r="AY469" s="7"/>
      <c r="AZ469" s="5"/>
      <c r="BA469" s="5"/>
      <c r="BB469" s="6"/>
      <c r="BC469" s="6"/>
      <c r="BD469" s="6"/>
      <c r="BE469" s="6"/>
      <c r="BF469" s="5"/>
      <c r="BG469" s="5"/>
      <c r="BH469" s="6"/>
      <c r="BI469" s="6"/>
      <c r="BJ469" s="6"/>
      <c r="BK469" s="6"/>
      <c r="BL469" s="6"/>
      <c r="BM469" s="6"/>
      <c r="BN469" s="6"/>
      <c r="BO469" s="6"/>
      <c r="BP469" s="6"/>
      <c r="BQ469" s="6"/>
    </row>
    <row r="470" spans="1:69" ht="43.8" thickBot="1" x14ac:dyDescent="0.35">
      <c r="A470" s="130"/>
      <c r="B470" s="63">
        <v>467</v>
      </c>
      <c r="C470" s="57" t="s">
        <v>977</v>
      </c>
      <c r="D470" s="5" t="s">
        <v>4</v>
      </c>
      <c r="E470" s="5">
        <v>3</v>
      </c>
      <c r="F470" s="15" t="s">
        <v>978</v>
      </c>
      <c r="G470" s="10" t="s">
        <v>975</v>
      </c>
      <c r="H470" s="6"/>
      <c r="I470" s="6"/>
      <c r="J470" s="6"/>
      <c r="K470" s="6"/>
      <c r="L470" s="6"/>
      <c r="M470" s="6"/>
      <c r="N470" s="17">
        <v>139.5</v>
      </c>
      <c r="O470" s="17">
        <f>N470*E470</f>
        <v>418.5</v>
      </c>
      <c r="P470" s="6"/>
      <c r="Q470" s="6"/>
      <c r="R470" s="6"/>
      <c r="S470" s="6"/>
      <c r="T470" s="6"/>
      <c r="U470" s="6"/>
      <c r="V470" s="6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6"/>
      <c r="AQ470" s="6"/>
      <c r="AR470" s="6"/>
      <c r="AS470" s="6"/>
      <c r="AT470" s="6"/>
      <c r="AU470" s="6"/>
      <c r="AV470" s="7"/>
      <c r="AW470" s="7"/>
      <c r="AX470" s="7"/>
      <c r="AY470" s="7"/>
      <c r="AZ470" s="5"/>
      <c r="BA470" s="5"/>
      <c r="BB470" s="6"/>
      <c r="BC470" s="6"/>
      <c r="BD470" s="6"/>
      <c r="BE470" s="6"/>
      <c r="BF470" s="5"/>
      <c r="BG470" s="5"/>
      <c r="BH470" s="6"/>
      <c r="BI470" s="6"/>
      <c r="BJ470" s="6"/>
      <c r="BK470" s="6"/>
      <c r="BL470" s="6"/>
      <c r="BM470" s="6"/>
      <c r="BN470" s="6"/>
      <c r="BO470" s="6"/>
      <c r="BP470" s="6"/>
      <c r="BQ470" s="6"/>
    </row>
    <row r="471" spans="1:69" ht="28.8" customHeight="1" x14ac:dyDescent="0.3">
      <c r="A471" s="131" t="s">
        <v>979</v>
      </c>
      <c r="B471" s="63">
        <v>468</v>
      </c>
      <c r="C471" s="57" t="s">
        <v>696</v>
      </c>
      <c r="D471" s="5" t="s">
        <v>4</v>
      </c>
      <c r="E471" s="5">
        <v>5</v>
      </c>
      <c r="F471" s="15" t="s">
        <v>697</v>
      </c>
      <c r="G471" s="10" t="s">
        <v>702</v>
      </c>
      <c r="H471" s="114" t="s">
        <v>999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17">
        <v>146.13</v>
      </c>
      <c r="U471" s="17">
        <f>T471*E471</f>
        <v>730.65</v>
      </c>
      <c r="V471" s="6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6"/>
      <c r="AQ471" s="6"/>
      <c r="AR471" s="6"/>
      <c r="AS471" s="6"/>
      <c r="AT471" s="6"/>
      <c r="AU471" s="6"/>
      <c r="AV471" s="7"/>
      <c r="AW471" s="7"/>
      <c r="AX471" s="7"/>
      <c r="AY471" s="7"/>
      <c r="AZ471" s="5"/>
      <c r="BA471" s="5"/>
      <c r="BB471" s="6"/>
      <c r="BC471" s="6"/>
      <c r="BD471" s="6"/>
      <c r="BE471" s="6"/>
      <c r="BF471" s="5"/>
      <c r="BG471" s="5"/>
      <c r="BH471" s="6"/>
      <c r="BI471" s="6"/>
      <c r="BJ471" s="6"/>
      <c r="BK471" s="6"/>
      <c r="BL471" s="6"/>
      <c r="BM471" s="6"/>
      <c r="BN471" s="6"/>
      <c r="BO471" s="6"/>
      <c r="BP471" s="6"/>
      <c r="BQ471" s="6"/>
    </row>
    <row r="472" spans="1:69" ht="28.8" x14ac:dyDescent="0.3">
      <c r="A472" s="132"/>
      <c r="B472" s="64">
        <v>469</v>
      </c>
      <c r="C472" s="57" t="s">
        <v>698</v>
      </c>
      <c r="D472" s="5" t="s">
        <v>4</v>
      </c>
      <c r="E472" s="5">
        <v>5</v>
      </c>
      <c r="F472" s="15" t="s">
        <v>699</v>
      </c>
      <c r="G472" s="10" t="s">
        <v>702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17">
        <v>233.7</v>
      </c>
      <c r="U472" s="17">
        <f>T472*E472</f>
        <v>1168.5</v>
      </c>
      <c r="V472" s="6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6"/>
      <c r="AQ472" s="6"/>
      <c r="AR472" s="6"/>
      <c r="AS472" s="6"/>
      <c r="AT472" s="6"/>
      <c r="AU472" s="6"/>
      <c r="AV472" s="7"/>
      <c r="AW472" s="7"/>
      <c r="AX472" s="7"/>
      <c r="AY472" s="7"/>
      <c r="AZ472" s="5"/>
      <c r="BA472" s="5"/>
      <c r="BB472" s="6"/>
      <c r="BC472" s="6"/>
      <c r="BD472" s="6"/>
      <c r="BE472" s="6"/>
      <c r="BF472" s="5"/>
      <c r="BG472" s="5"/>
      <c r="BH472" s="6"/>
      <c r="BI472" s="6"/>
      <c r="BJ472" s="6"/>
      <c r="BK472" s="6"/>
      <c r="BL472" s="6"/>
      <c r="BM472" s="6"/>
      <c r="BN472" s="6"/>
      <c r="BO472" s="6"/>
      <c r="BP472" s="6"/>
      <c r="BQ472" s="6"/>
    </row>
    <row r="473" spans="1:69" ht="29.4" thickBot="1" x14ac:dyDescent="0.35">
      <c r="A473" s="133"/>
      <c r="B473" s="111">
        <v>470</v>
      </c>
      <c r="C473" s="56" t="s">
        <v>700</v>
      </c>
      <c r="D473" s="5" t="s">
        <v>4</v>
      </c>
      <c r="E473" s="5">
        <v>2</v>
      </c>
      <c r="F473" s="15" t="s">
        <v>701</v>
      </c>
      <c r="G473" s="10" t="s">
        <v>702</v>
      </c>
      <c r="H473" s="17">
        <v>589.99</v>
      </c>
      <c r="I473" s="17">
        <f>H473*E473</f>
        <v>1179.98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6"/>
      <c r="AQ473" s="6"/>
      <c r="AR473" s="6"/>
      <c r="AS473" s="6"/>
      <c r="AT473" s="6"/>
      <c r="AU473" s="6"/>
      <c r="AV473" s="7"/>
      <c r="AW473" s="7"/>
      <c r="AX473" s="7"/>
      <c r="AY473" s="7"/>
      <c r="AZ473" s="5"/>
      <c r="BA473" s="5"/>
      <c r="BB473" s="6"/>
      <c r="BC473" s="6"/>
      <c r="BD473" s="6"/>
      <c r="BE473" s="6"/>
      <c r="BF473" s="5"/>
      <c r="BG473" s="5"/>
      <c r="BH473" s="6"/>
      <c r="BI473" s="6"/>
      <c r="BJ473" s="6"/>
      <c r="BK473" s="6"/>
      <c r="BL473" s="6"/>
      <c r="BM473" s="6"/>
      <c r="BN473" s="6"/>
      <c r="BO473" s="6"/>
      <c r="BP473" s="6"/>
      <c r="BQ473" s="6"/>
    </row>
    <row r="477" spans="1:69" s="72" customFormat="1" ht="21" x14ac:dyDescent="0.4">
      <c r="B477" s="4"/>
      <c r="C477" s="73"/>
      <c r="F477" s="74"/>
      <c r="G477" s="75" t="s">
        <v>648</v>
      </c>
      <c r="I477" s="71">
        <f>SUM(I6:I473)</f>
        <v>52157.430000000008</v>
      </c>
      <c r="K477" s="71">
        <f>SUM(K6:K473)</f>
        <v>1864</v>
      </c>
      <c r="M477" s="71">
        <f>SUM(M6:M473)</f>
        <v>165862.28</v>
      </c>
      <c r="O477" s="71">
        <f>SUM(O6:O473)</f>
        <v>11738.76</v>
      </c>
      <c r="Q477" s="71">
        <f>SUM(Q6:Q473)</f>
        <v>16803.57</v>
      </c>
      <c r="S477" s="71">
        <f>SUM(S6:S473)</f>
        <v>2483.3200000000002</v>
      </c>
      <c r="U477" s="71">
        <f>SUM(U6:U473)</f>
        <v>39087.299999999981</v>
      </c>
      <c r="W477" s="71">
        <f>SUM(W6:W473)</f>
        <v>19897.09</v>
      </c>
      <c r="Y477" s="71">
        <f>SUM(Y6:Y473)</f>
        <v>4547.2</v>
      </c>
      <c r="AA477" s="71">
        <f>SUM(AA6:AA473)</f>
        <v>2549</v>
      </c>
      <c r="AC477" s="71">
        <f>SUM(AC6:AC473)</f>
        <v>900</v>
      </c>
      <c r="AE477" s="71">
        <f>SUM(AE6:AE473)</f>
        <v>5103</v>
      </c>
      <c r="AG477" s="71">
        <f>SUM(AG6:AG473)</f>
        <v>2424.6</v>
      </c>
      <c r="AI477" s="71">
        <f>SUM(AI6:AI473)</f>
        <v>26615.834940000008</v>
      </c>
      <c r="AK477" s="71">
        <f>SUM(AK6:AK473)</f>
        <v>947.5</v>
      </c>
      <c r="AM477" s="71" t="s">
        <v>413</v>
      </c>
      <c r="AO477" s="71">
        <f>SUM(AO6:AO473)</f>
        <v>42719.89</v>
      </c>
      <c r="AQ477" s="71">
        <f>SUM(AQ6:AQ473)</f>
        <v>0</v>
      </c>
      <c r="AS477" s="71">
        <f>SUM(AS6:AS473)</f>
        <v>15564.339999999998</v>
      </c>
      <c r="AU477" s="71">
        <f>SUM(AU6:AU473)</f>
        <v>3453.2200000000003</v>
      </c>
      <c r="AV477" s="76"/>
      <c r="AW477" s="71">
        <f>SUM(AW6:AW473)</f>
        <v>520.29999999999995</v>
      </c>
      <c r="AX477" s="76"/>
      <c r="AY477" s="71">
        <f>SUM(AY6:AY473)</f>
        <v>4728.78</v>
      </c>
      <c r="BA477" s="71">
        <f>SUM(BA6:BA473)</f>
        <v>200</v>
      </c>
      <c r="BC477" s="71">
        <f>SUM(BC6:BC473)</f>
        <v>1241.45</v>
      </c>
      <c r="BE477" s="71">
        <f>SUM(BE6:BE473)</f>
        <v>395.11999999999995</v>
      </c>
      <c r="BG477" s="71">
        <f>SUM(BG6:BG473)</f>
        <v>495</v>
      </c>
      <c r="BI477" s="71">
        <f>SUM(BI6:BI473)</f>
        <v>1400</v>
      </c>
      <c r="BK477" s="71">
        <f>SUM(BK6:BK473)</f>
        <v>2611.2600000000002</v>
      </c>
      <c r="BM477" s="71">
        <f>SUM(BM6:BM473)</f>
        <v>1299.72</v>
      </c>
      <c r="BO477" s="71">
        <f>SUM(BO6:BO473)</f>
        <v>519.63</v>
      </c>
      <c r="BQ477" s="71">
        <f>SUM(BQ6:BQ473)</f>
        <v>2394.2488000000003</v>
      </c>
    </row>
    <row r="479" spans="1:69" ht="18" x14ac:dyDescent="0.35">
      <c r="G479" s="70" t="s">
        <v>650</v>
      </c>
      <c r="I479" s="71">
        <f>I477+K477+M477+O477+Q477+S477+U477+W477+Y477+AA477+AC477+AE477+AG477+AI477+AK477+AO477+AQ477+AS477+AU477+AW477+AY477+BA477+BC477+BE477+BG477+BI477+BK477+BM477+BO477+BQ477</f>
        <v>430523.8437400001</v>
      </c>
    </row>
    <row r="480" spans="1:69" ht="18" x14ac:dyDescent="0.35">
      <c r="G480" s="70" t="s">
        <v>651</v>
      </c>
      <c r="I480" s="71">
        <v>100000</v>
      </c>
    </row>
    <row r="481" spans="7:9" ht="18" x14ac:dyDescent="0.35">
      <c r="G481" s="70" t="s">
        <v>653</v>
      </c>
      <c r="I481" s="71">
        <v>100000</v>
      </c>
    </row>
    <row r="482" spans="7:9" ht="18" x14ac:dyDescent="0.35">
      <c r="G482" s="70" t="s">
        <v>652</v>
      </c>
      <c r="I482" s="71">
        <f>I479+I480+I481</f>
        <v>630523.84374000016</v>
      </c>
    </row>
    <row r="484" spans="7:9" ht="18" x14ac:dyDescent="0.35">
      <c r="G484" s="70" t="s">
        <v>864</v>
      </c>
      <c r="H484" s="104"/>
      <c r="I484" s="71">
        <v>52.76</v>
      </c>
    </row>
    <row r="485" spans="7:9" ht="18" x14ac:dyDescent="0.35">
      <c r="G485" s="70" t="s">
        <v>865</v>
      </c>
      <c r="I485" s="71">
        <v>45.07</v>
      </c>
    </row>
  </sheetData>
  <mergeCells count="41">
    <mergeCell ref="A6:A57"/>
    <mergeCell ref="A471:A473"/>
    <mergeCell ref="A168:A470"/>
    <mergeCell ref="A158:A167"/>
    <mergeCell ref="A126:A157"/>
    <mergeCell ref="A116:A125"/>
    <mergeCell ref="A95:A115"/>
    <mergeCell ref="A88:A94"/>
    <mergeCell ref="A69:A87"/>
    <mergeCell ref="A58:A68"/>
    <mergeCell ref="BN4:BO4"/>
    <mergeCell ref="BP4:BQ4"/>
    <mergeCell ref="T4:U4"/>
    <mergeCell ref="V4:W4"/>
    <mergeCell ref="N4:O4"/>
    <mergeCell ref="P4:Q4"/>
    <mergeCell ref="Z4:AA4"/>
    <mergeCell ref="AV4:AW4"/>
    <mergeCell ref="BD4:BE4"/>
    <mergeCell ref="R4:S4"/>
    <mergeCell ref="BF4:BG4"/>
    <mergeCell ref="AL4:AM4"/>
    <mergeCell ref="AN4:AO4"/>
    <mergeCell ref="AP4:AQ4"/>
    <mergeCell ref="AT4:AU4"/>
    <mergeCell ref="H4:I4"/>
    <mergeCell ref="J4:K4"/>
    <mergeCell ref="L4:M4"/>
    <mergeCell ref="BL4:BM4"/>
    <mergeCell ref="BJ4:BK4"/>
    <mergeCell ref="BH4:BI4"/>
    <mergeCell ref="AB4:AC4"/>
    <mergeCell ref="BB4:BC4"/>
    <mergeCell ref="AD4:AE4"/>
    <mergeCell ref="AF4:AG4"/>
    <mergeCell ref="AH4:AI4"/>
    <mergeCell ref="AJ4:AK4"/>
    <mergeCell ref="AX4:AY4"/>
    <mergeCell ref="AZ4:BA4"/>
    <mergeCell ref="AR4:AS4"/>
    <mergeCell ref="X4:Y4"/>
  </mergeCells>
  <phoneticPr fontId="14" type="noConversion"/>
  <hyperlinks>
    <hyperlink ref="F17" r:id="rId1" xr:uid="{9A57EEF5-1351-413A-ADFD-01BBBAE37F1E}"/>
    <hyperlink ref="F8" r:id="rId2" xr:uid="{2173B720-D247-4E70-B1A0-4F4A2CFAB132}"/>
    <hyperlink ref="F9" r:id="rId3" xr:uid="{B7C44E8F-1BE9-43F7-890A-1365F71C1F4F}"/>
    <hyperlink ref="F22" r:id="rId4" xr:uid="{28D37557-C2B7-40E5-89F2-2243B20F36C5}"/>
    <hyperlink ref="F6" r:id="rId5" xr:uid="{BB4726F6-64D3-46EA-8B72-EAE9514D399E}"/>
    <hyperlink ref="F7" r:id="rId6" xr:uid="{49958F9B-9297-4FC7-B60C-E084917765B3}"/>
    <hyperlink ref="F10" r:id="rId7" xr:uid="{56A5BBEB-6434-4C2B-BA20-FB950096B102}"/>
    <hyperlink ref="F11" r:id="rId8" xr:uid="{D3ABDCB4-4C13-48A6-B95C-7D248888645F}"/>
    <hyperlink ref="F12" r:id="rId9" xr:uid="{5FC0FB27-463C-4E90-96DD-3A5F1DA00713}"/>
    <hyperlink ref="F13" r:id="rId10" xr:uid="{91BBDCC9-C10A-4C34-B750-58653A29B602}"/>
    <hyperlink ref="F14" r:id="rId11" xr:uid="{BAF010DC-499D-4438-952B-609F210E5D3B}"/>
    <hyperlink ref="F15" r:id="rId12" xr:uid="{F1544CF7-C6AF-4406-B8E8-14D07FA9C80F}"/>
    <hyperlink ref="F16" r:id="rId13" xr:uid="{0E926719-3269-453B-B3D4-E72A138D573A}"/>
    <hyperlink ref="F18" r:id="rId14" xr:uid="{C031AE67-8D69-492B-BC7F-F427EF6D036F}"/>
    <hyperlink ref="F20" r:id="rId15" xr:uid="{2D766672-EE94-4443-8277-D949933081A4}"/>
    <hyperlink ref="F19" r:id="rId16" xr:uid="{8D511F3B-83E2-4915-B718-E1C31590A81F}"/>
    <hyperlink ref="F21" r:id="rId17" xr:uid="{B44CA365-0159-4802-A22B-94B5B902551F}"/>
    <hyperlink ref="F23" r:id="rId18" xr:uid="{62F29BDA-A516-4359-A815-B33A3EA163F8}"/>
    <hyperlink ref="F24" r:id="rId19" xr:uid="{B25F439F-417A-423B-AA9F-01958A0972E4}"/>
    <hyperlink ref="F25" r:id="rId20" xr:uid="{3CA34444-D391-485C-8FD5-BC91C3023229}"/>
    <hyperlink ref="F26" r:id="rId21" xr:uid="{5A7E65B8-05B3-42CD-9A86-077CF1C3B5FD}"/>
    <hyperlink ref="F28" r:id="rId22" xr:uid="{675E90CA-2484-451F-925A-52C4C15A1218}"/>
    <hyperlink ref="F27" r:id="rId23" xr:uid="{5CB15CB6-C9C9-4F9B-8212-DCDC01BBCB7F}"/>
    <hyperlink ref="F29" r:id="rId24" xr:uid="{E282E8E8-E3AD-4D35-9BAE-1C8BCA4A36D0}"/>
    <hyperlink ref="F67" r:id="rId25" xr:uid="{5BAC8600-164E-42ED-8E40-D1AC31CC2F04}"/>
    <hyperlink ref="F74" r:id="rId26" xr:uid="{83334F9C-0245-4B8C-9255-B6D3204503E8}"/>
    <hyperlink ref="F30" r:id="rId27" xr:uid="{469F0E9B-5AA4-493A-9C18-C3E86BC0D0FF}"/>
    <hyperlink ref="F34" r:id="rId28" xr:uid="{C335EF24-2E57-455E-A6B5-AE9A89B06AF6}"/>
    <hyperlink ref="F35" r:id="rId29" xr:uid="{261340D7-E1AE-4EBB-98F4-E216ADEA1C24}"/>
    <hyperlink ref="F36" r:id="rId30" xr:uid="{94D77476-AFE3-466A-8E98-88B771ABFA3A}"/>
    <hyperlink ref="F69" r:id="rId31" xr:uid="{2817D162-637D-4E38-B280-18DBC630F297}"/>
    <hyperlink ref="F73" r:id="rId32" xr:uid="{F2F74515-84CC-44B2-B4CF-6EFA7643F325}"/>
    <hyperlink ref="F75" r:id="rId33" xr:uid="{1DB67771-37DD-43ED-9E23-AB9A35ACC064}"/>
    <hyperlink ref="F85" r:id="rId34" xr:uid="{5D7A3311-7A97-4916-92B8-5CA035AAED85}"/>
    <hyperlink ref="F82" r:id="rId35" xr:uid="{3675F17A-9579-419E-BCD0-F7690BF9F366}"/>
    <hyperlink ref="F76" r:id="rId36" xr:uid="{C0493F15-C36C-46D3-BADD-7070C950C76E}"/>
    <hyperlink ref="F31" r:id="rId37" xr:uid="{6ACEF3CF-1C87-45DD-9741-5B0F9644BF1C}"/>
    <hyperlink ref="F32" r:id="rId38" xr:uid="{A7E8D7D5-E1AA-4C5A-8ACA-95907E041F01}"/>
    <hyperlink ref="F33" r:id="rId39" xr:uid="{A9938501-75F7-49C7-A540-89D0947F853E}"/>
    <hyperlink ref="F88" r:id="rId40" xr:uid="{212C348B-35E5-4E36-9FFE-0DE6ADA50614}"/>
    <hyperlink ref="F89" r:id="rId41" xr:uid="{D977DDFA-7DD2-439F-9428-DF54914983F1}"/>
    <hyperlink ref="F90" r:id="rId42" xr:uid="{3F0EAB71-9902-405E-9947-3E54656A525B}"/>
    <hyperlink ref="F91" r:id="rId43" xr:uid="{C71E2764-3EBD-4EA7-90D1-AB6BC0866D21}"/>
    <hyperlink ref="F92" r:id="rId44" xr:uid="{F032ABD0-86D8-4F58-B870-364FE4035318}"/>
    <hyperlink ref="F93" r:id="rId45" xr:uid="{8632BC6F-EFFC-4CF3-9FE2-18412CBA1EDC}"/>
    <hyperlink ref="F94" r:id="rId46" xr:uid="{9EE1C135-576E-4C48-9821-BD03C677CA4E}"/>
    <hyperlink ref="F95" r:id="rId47" xr:uid="{BF8F0EC3-CAF1-431E-A9CA-10195ADCE6CF}"/>
    <hyperlink ref="F102" r:id="rId48" xr:uid="{43673F66-2C78-4E01-8CB4-7CB20E8117D0}"/>
    <hyperlink ref="F101" r:id="rId49" xr:uid="{21F8D965-0D0C-41E7-842B-316CFE4B6B69}"/>
    <hyperlink ref="F108" r:id="rId50" xr:uid="{6C8DF1CF-352C-432E-B4CE-264A9B25D01D}"/>
    <hyperlink ref="F107" r:id="rId51" xr:uid="{62B3893D-4804-4F59-88BF-EE57D415F2B7}"/>
    <hyperlink ref="F103" r:id="rId52" xr:uid="{DB697AF1-FBA1-45D6-98D5-0157EB3CB726}"/>
    <hyperlink ref="F104" r:id="rId53" xr:uid="{C8089F27-7B3C-450E-AA1D-6E04D3F758A4}"/>
    <hyperlink ref="F109" r:id="rId54" xr:uid="{70D8838B-F554-42F2-B003-8EC07C183B95}"/>
    <hyperlink ref="F86" r:id="rId55" xr:uid="{A15DA649-CD21-4BF9-9913-E79AC855C3B7}"/>
    <hyperlink ref="F96" r:id="rId56" xr:uid="{0D996541-CFCB-4DFA-9A0C-615A31855AD6}"/>
    <hyperlink ref="F97" r:id="rId57" xr:uid="{91529E67-13E6-4421-AF27-702558DDAA4D}"/>
    <hyperlink ref="F98" r:id="rId58" xr:uid="{79F1C6A5-8E0D-4423-A2AC-21D7ECE4AAEA}"/>
    <hyperlink ref="F99" r:id="rId59" xr:uid="{724A9EC0-F3C0-4AFC-BF23-BD9EB5A15E36}"/>
    <hyperlink ref="F105" r:id="rId60" xr:uid="{6B0FA1B0-F6C0-421C-9D9C-A98EC2B186CC}"/>
    <hyperlink ref="F106" r:id="rId61" xr:uid="{E8EE72E9-CBD8-4ABC-B515-42302CB3C090}"/>
    <hyperlink ref="F111" r:id="rId62" xr:uid="{FE503961-533D-49FC-8572-8EAB0EE43009}"/>
    <hyperlink ref="F110" r:id="rId63" xr:uid="{838982DE-4A8A-4C10-9B36-2604A750E1F9}"/>
    <hyperlink ref="F112" r:id="rId64" xr:uid="{EEA82AE1-6CEF-4AC8-8DA6-0CD10065FCA5}"/>
    <hyperlink ref="F113" r:id="rId65" xr:uid="{8F05F7C2-2752-45E6-8AE1-4717F835A955}"/>
    <hyperlink ref="F114" r:id="rId66" xr:uid="{AF80AF88-B673-4AD9-A702-4551CE02A1CC}"/>
    <hyperlink ref="F100" r:id="rId67" xr:uid="{EC2A7C30-073D-4841-ACCB-39AF93260E92}"/>
    <hyperlink ref="F115" r:id="rId68" xr:uid="{F35686FB-0B22-4732-9819-36152EA8FC22}"/>
    <hyperlink ref="F37" r:id="rId69" xr:uid="{C5102C3B-E38B-4122-B8F8-EA2AEF1F3610}"/>
    <hyperlink ref="F116" r:id="rId70" xr:uid="{D614295D-C7F6-4560-9F3C-B7F560D23957}"/>
    <hyperlink ref="F117" r:id="rId71" xr:uid="{07A8A701-A9E7-47AB-AAE6-9A4FD8F9F435}"/>
    <hyperlink ref="F118" r:id="rId72" xr:uid="{8FEAF016-6055-49B7-B1E4-1A956EA040C0}"/>
    <hyperlink ref="F119" r:id="rId73" xr:uid="{40534D20-0A97-47A0-84EB-26D575350A16}"/>
    <hyperlink ref="F120" r:id="rId74" xr:uid="{7914CD8F-0B57-485C-87E9-8C119DF8D31B}"/>
    <hyperlink ref="F121" r:id="rId75" xr:uid="{4D97E8D2-1F20-425C-8A98-0DA27A1F9D3E}"/>
    <hyperlink ref="F122" r:id="rId76" xr:uid="{48B47294-33A9-461C-B246-2768BC5EB512}"/>
    <hyperlink ref="F123" r:id="rId77" xr:uid="{DAAD56C0-D2A7-417B-87A0-1E8ED84C5FBB}"/>
    <hyperlink ref="F124" r:id="rId78" xr:uid="{FB9FE880-2C7C-4779-8DE9-8783003DE106}"/>
    <hyperlink ref="F125" r:id="rId79" xr:uid="{2995C2F6-8665-46E4-857F-3A2F335768D1}"/>
    <hyperlink ref="F158" r:id="rId80" xr:uid="{CA8C5B80-85B9-402B-975D-52D9A9F6226D}"/>
    <hyperlink ref="F49" r:id="rId81" xr:uid="{17C8B198-36BC-4B06-B299-1AADC43BB48C}"/>
    <hyperlink ref="F50" r:id="rId82" xr:uid="{E566D93B-B765-4660-A0D2-1723C1EB7D18}"/>
    <hyperlink ref="F51" r:id="rId83" xr:uid="{E0550982-2EB0-48FC-B1AE-75C6868825CB}"/>
    <hyperlink ref="F71" r:id="rId84" xr:uid="{2D43A04A-1DB9-46D1-87AB-0B91BDB7A1AA}"/>
    <hyperlink ref="F72" r:id="rId85" xr:uid="{01519955-3710-40BC-A96D-8E89BD0A5D79}"/>
    <hyperlink ref="F129" r:id="rId86" xr:uid="{34029632-9EE9-4AFF-84A6-BB671B5CD5CC}"/>
    <hyperlink ref="F130" r:id="rId87" xr:uid="{13365EB8-F0DD-4A25-8233-AA3C4379EDFF}"/>
    <hyperlink ref="F131" r:id="rId88" xr:uid="{4AFFD34A-76C7-4351-B4C5-C0B8BE29CAE5}"/>
    <hyperlink ref="F132" r:id="rId89" xr:uid="{C3DD560F-BDB1-4569-8867-510828D3820C}"/>
    <hyperlink ref="F133" r:id="rId90" xr:uid="{A07A11B8-25BD-40D6-9988-7890B6274175}"/>
    <hyperlink ref="F77" r:id="rId91" xr:uid="{682344C7-036F-455D-B134-24E11002E0BD}"/>
    <hyperlink ref="F79" r:id="rId92" xr:uid="{D02A5FF9-AD8E-4150-B884-794AC9290034}"/>
    <hyperlink ref="F70" r:id="rId93" xr:uid="{1C5AAA12-4D44-4CFB-86E3-40377495AB0D}"/>
    <hyperlink ref="F80" r:id="rId94" xr:uid="{0FD47B00-E7BD-4FF8-B11D-DC98DED48F56}"/>
    <hyperlink ref="F81" r:id="rId95" xr:uid="{CCC9E638-277D-49F6-961B-D1CF72D743C6}"/>
    <hyperlink ref="F83" r:id="rId96" xr:uid="{82DBD5C8-CFDF-402C-B05E-7D5796079883}"/>
    <hyperlink ref="F84" r:id="rId97" xr:uid="{C7DCD4D8-7A04-4BD1-835D-D17601A593D6}"/>
    <hyperlink ref="F134" r:id="rId98" xr:uid="{EE80BCA0-7390-4CE2-8BFA-3C466D0C20E4}"/>
    <hyperlink ref="F137" r:id="rId99" xr:uid="{14731C20-2A07-47C8-87A2-D1DBD4A85289}"/>
    <hyperlink ref="F138" r:id="rId100" xr:uid="{6F49508C-503A-436A-8C6A-4ADB39283661}"/>
    <hyperlink ref="F140" r:id="rId101" xr:uid="{83EA9798-B8F2-4639-86D0-4E6C77C17CC5}"/>
    <hyperlink ref="F141" r:id="rId102" xr:uid="{7D1AF533-FBBB-48E6-A657-645367A72A13}"/>
    <hyperlink ref="F142" r:id="rId103" xr:uid="{C4DC63C8-2448-4638-B090-62624719B60F}"/>
    <hyperlink ref="F143" r:id="rId104" xr:uid="{64A8CB05-B89E-4E83-8A24-F05F727522B6}"/>
    <hyperlink ref="F144" r:id="rId105" xr:uid="{D8047729-5016-4B2A-A4F7-B99E1A082624}"/>
    <hyperlink ref="F145" r:id="rId106" xr:uid="{B26AB92B-79DC-4C68-8872-9D011A764503}"/>
    <hyperlink ref="F146" r:id="rId107" xr:uid="{F8CFE502-9C56-4719-88A4-0ACBC2AD9068}"/>
    <hyperlink ref="F147" r:id="rId108" xr:uid="{BE5CEBAE-B8D3-4A8F-B194-C0BA87A80FE2}"/>
    <hyperlink ref="F168" r:id="rId109" xr:uid="{BA8BA65D-AFAB-477A-95CF-6FCFFF22A9F8}"/>
    <hyperlink ref="F52" r:id="rId110" xr:uid="{799BF12C-5EB6-4B72-BEE9-03F46D724296}"/>
    <hyperlink ref="F53" r:id="rId111" xr:uid="{58039B09-E46A-45BA-AA5C-33909BD7563B}"/>
    <hyperlink ref="F148" r:id="rId112" xr:uid="{2D786853-4537-4EC2-907D-0E3F66F8A3E2}"/>
    <hyperlink ref="F149" r:id="rId113" xr:uid="{E3392E58-5F6B-4C63-851A-61D67C2A67D6}"/>
    <hyperlink ref="F172" r:id="rId114" xr:uid="{40F3CAB1-4D59-4013-B963-3C88DB2B19A0}"/>
    <hyperlink ref="F62" r:id="rId115" xr:uid="{E089F10A-AFBB-4F37-A6FB-8116C2913266}"/>
    <hyperlink ref="F43" r:id="rId116" xr:uid="{686E4F92-34BE-4772-AA96-B60BCB9CDA3C}"/>
    <hyperlink ref="F54" r:id="rId117" xr:uid="{B1215653-DE47-4DC7-9884-A99139E4B28D}"/>
    <hyperlink ref="F173" r:id="rId118" xr:uid="{50768CFF-BAF1-48B2-8BF6-516E060D4F11}"/>
    <hyperlink ref="F174" r:id="rId119" xr:uid="{33C776E8-0AC6-42B0-9980-8F2C3DBDF130}"/>
    <hyperlink ref="F175" r:id="rId120" xr:uid="{0002D023-111E-4A3F-9A77-FB2880934CCE}"/>
    <hyperlink ref="F176" r:id="rId121" xr:uid="{7CFCEA50-631A-4A73-A924-75B60BA7211D}"/>
    <hyperlink ref="F177" r:id="rId122" xr:uid="{8C06D452-D957-4E5F-8D26-9504B0F5FF0E}"/>
    <hyperlink ref="F178" r:id="rId123" xr:uid="{41F2D43C-E6D6-4DFA-9B5F-455DEEAB67D2}"/>
    <hyperlink ref="F231" r:id="rId124" xr:uid="{CF374BDD-59F2-4544-A14B-FC768CC0CD2B}"/>
    <hyperlink ref="F212" r:id="rId125" xr:uid="{B0719D98-34D3-4658-A686-8D6DB6F4DE52}"/>
    <hyperlink ref="F202" r:id="rId126" xr:uid="{99A4D53A-3497-466A-B634-A0D90D6713BC}"/>
    <hyperlink ref="F180" r:id="rId127" xr:uid="{AD109BDE-B7FC-4C1C-9E59-14BE53F5D7EB}"/>
    <hyperlink ref="F179" r:id="rId128" xr:uid="{CFA53B48-59D5-42B9-9391-130801D5A9A9}"/>
    <hyperlink ref="F181" r:id="rId129" xr:uid="{3FB9393E-7935-4F02-8783-60FE945537E4}"/>
    <hyperlink ref="F182" r:id="rId130" xr:uid="{CCDD2DC6-3937-448C-8D96-35E0AF86A14C}"/>
    <hyperlink ref="F183" r:id="rId131" xr:uid="{61AF538D-E872-4ECE-84FE-B2F642980D55}"/>
    <hyperlink ref="F184" r:id="rId132" xr:uid="{80360B7E-11D3-4BED-8AE6-A07505C63925}"/>
    <hyperlink ref="F185" r:id="rId133" xr:uid="{9AB0274F-C1BB-47E2-B351-761A6E4125D5}"/>
    <hyperlink ref="F186" r:id="rId134" xr:uid="{4AFB6DB9-0B8F-43A9-A142-4D83CC03E3EF}"/>
    <hyperlink ref="F187" r:id="rId135" xr:uid="{B5585BCA-C520-4044-9A54-47E0B70B1717}"/>
    <hyperlink ref="F188" r:id="rId136" xr:uid="{3DB83744-9BD9-4EAC-A76D-DFFAA588466D}"/>
    <hyperlink ref="F189" r:id="rId137" xr:uid="{DAF0AEA6-A463-496F-9C5E-309C64D94E1D}"/>
    <hyperlink ref="F190" r:id="rId138" xr:uid="{96D85C55-D816-4C10-83F0-E8798CB5D07A}"/>
    <hyperlink ref="F191" r:id="rId139" xr:uid="{E2134538-0D92-418B-827B-41E15CA0E505}"/>
    <hyperlink ref="F192" r:id="rId140" xr:uid="{8B9BA2C4-3C11-4AC0-926F-0D81DD6FBC15}"/>
    <hyperlink ref="F193" r:id="rId141" xr:uid="{9B5FF7E3-F456-45B3-835B-AB8E055121BF}"/>
    <hyperlink ref="F194" r:id="rId142" xr:uid="{1CD435B4-D29E-4C75-BA3C-B6F25A0D25DA}"/>
    <hyperlink ref="F195" r:id="rId143" xr:uid="{3CB86733-B26D-4FEA-8D6A-0FCCFFA622A8}"/>
    <hyperlink ref="F196" r:id="rId144" xr:uid="{BC42DB58-F041-42BB-9421-AA9A90E9281C}"/>
    <hyperlink ref="F197" r:id="rId145" xr:uid="{1DEABEB7-4913-47A6-A4C2-82F383DE01C0}"/>
    <hyperlink ref="F198" r:id="rId146" xr:uid="{F9E606D3-3AEF-4750-9F30-E58077C83D33}"/>
    <hyperlink ref="F199" r:id="rId147" xr:uid="{E26686F9-1A38-48A2-8D8A-18F04114F80B}"/>
    <hyperlink ref="F200" r:id="rId148" xr:uid="{C45E7287-2B08-42FA-819F-23F38A56988E}"/>
    <hyperlink ref="F201" r:id="rId149" xr:uid="{E0126622-D00E-4390-81D6-3E2C6A3D34BB}"/>
    <hyperlink ref="F203" r:id="rId150" xr:uid="{E8280470-8725-43FD-A36F-327912C795C7}"/>
    <hyperlink ref="F204" r:id="rId151" xr:uid="{CC914914-77FA-479F-B8E6-9E422BC74E02}"/>
    <hyperlink ref="F205" r:id="rId152" xr:uid="{F3D515EA-6D9C-47C1-9683-0D99DBCA022C}"/>
    <hyperlink ref="F206" r:id="rId153" xr:uid="{9D4BBD82-1099-4A4E-87C3-E6F11AF08170}"/>
    <hyperlink ref="F207" r:id="rId154" xr:uid="{E7C655F3-8049-435F-BAB3-657C1AB2A3A4}"/>
    <hyperlink ref="F208" r:id="rId155" xr:uid="{22E8ED34-5074-494F-8E8B-516A16918F40}"/>
    <hyperlink ref="F209" r:id="rId156" xr:uid="{CC203C58-33C2-4531-BA12-5BA45FFC08AA}"/>
    <hyperlink ref="F210" r:id="rId157" xr:uid="{CE80BA66-0767-4EEE-8362-D3201F8187B4}"/>
    <hyperlink ref="F211" r:id="rId158" xr:uid="{FD17743B-6B2C-461F-BAD9-EB476BF4C8A0}"/>
    <hyperlink ref="F213" r:id="rId159" xr:uid="{CA0560DC-2213-41A2-B19B-DA61A97AC341}"/>
    <hyperlink ref="F214" r:id="rId160" xr:uid="{7CBD7A68-F416-4E57-9ADB-1BEC5F5FF04F}"/>
    <hyperlink ref="F215" r:id="rId161" xr:uid="{7B710BBE-6BDD-4E5C-87F7-CFAF3001413D}"/>
    <hyperlink ref="F216" r:id="rId162" xr:uid="{2F402995-7701-4D8F-BAA3-594C1DFFB98B}"/>
    <hyperlink ref="F217" r:id="rId163" xr:uid="{ACE98D33-E7F7-4DF6-9ECB-548BFB9578C1}"/>
    <hyperlink ref="F218" r:id="rId164" xr:uid="{CB2AB6B6-5588-4D94-8A0F-58AF57E63BFE}"/>
    <hyperlink ref="F219" r:id="rId165" xr:uid="{820E9B5B-F074-4C61-B649-7D533747E3CB}"/>
    <hyperlink ref="F220" r:id="rId166" xr:uid="{E379F3FE-FD67-4DC0-8354-0708A123B936}"/>
    <hyperlink ref="F221" r:id="rId167" xr:uid="{BD63E494-242B-4EFC-9ACF-84A240B4445F}"/>
    <hyperlink ref="F222" r:id="rId168" xr:uid="{31932297-B683-4D0A-933F-6899D938AB98}"/>
    <hyperlink ref="F223" r:id="rId169" xr:uid="{9E336CE5-DEB4-40FD-8BDD-10B9E3CEAAB2}"/>
    <hyperlink ref="F232" r:id="rId170" xr:uid="{68F244FC-2BBA-4035-8DF9-860ACE3E803C}"/>
    <hyperlink ref="F235" r:id="rId171" xr:uid="{06A8A97B-E006-49FC-A499-26C4C92E8E50}"/>
    <hyperlink ref="F229" r:id="rId172" xr:uid="{4B402B7C-47E7-4483-A8FB-D8134481A3C4}"/>
    <hyperlink ref="F230" r:id="rId173" xr:uid="{58923836-3EE2-4C52-90A1-F2140E133CA5}"/>
    <hyperlink ref="F233" r:id="rId174" xr:uid="{639DAF21-7275-406D-B2DF-4E5A4DE6AE25}"/>
    <hyperlink ref="F56" r:id="rId175" xr:uid="{9DCBF89B-2CC7-4BC0-BE0B-CDBBB9750D5C}"/>
    <hyperlink ref="F55" r:id="rId176" xr:uid="{D0C88A26-91C0-4B73-97DD-FEBE790B049B}"/>
    <hyperlink ref="F66" r:id="rId177" xr:uid="{22DA5FC9-1ADF-4D4C-BE83-0681853A0552}"/>
    <hyperlink ref="F302" r:id="rId178" xr:uid="{B4994EB8-D561-437E-9EAF-58DE125A768F}"/>
    <hyperlink ref="F135" r:id="rId179" location=":~:text=Arduino%20UNO%2C%20mikrodenetleyici%20tabanlı%20projeler,elektronik%20bileşenlerle%20kolayca%20entegre%20edilebilir." xr:uid="{75EAED49-1CFA-47FD-A73F-C9508B78FB5D}"/>
    <hyperlink ref="F227" r:id="rId180" xr:uid="{B86298EC-4785-49D8-B6D7-A1D381257513}"/>
    <hyperlink ref="F159" r:id="rId181" xr:uid="{50D815DD-71D0-4916-96CE-47D458F2F03C}"/>
    <hyperlink ref="F160" r:id="rId182" xr:uid="{BC671B14-3F3D-4E85-AA7A-E6B46EE67D87}"/>
    <hyperlink ref="F161" r:id="rId183" xr:uid="{EC33D5AE-3749-4652-9458-130E53BB41C2}"/>
    <hyperlink ref="F169" r:id="rId184" xr:uid="{6ACFAFD5-1BD0-465D-B801-73ABA715F2B1}"/>
    <hyperlink ref="F228" r:id="rId185" xr:uid="{F3C45AE9-DFC2-465C-BE3B-C31A55F3AA8F}"/>
    <hyperlink ref="F224" r:id="rId186" xr:uid="{9F5D0F92-E848-4200-BBFA-5FC736BA9A89}"/>
    <hyperlink ref="F234" r:id="rId187" xr:uid="{9DD6E6F9-F19E-4CF4-8424-939EAC2B9BA9}"/>
    <hyperlink ref="F225" r:id="rId188" xr:uid="{F4DDEB1D-0237-489C-8EF2-17697372D22E}"/>
    <hyperlink ref="F226" r:id="rId189" xr:uid="{A897164D-ADA7-4888-A37A-D383FC20FD38}"/>
    <hyperlink ref="F304" r:id="rId190" xr:uid="{3262B752-864F-444F-9D34-00D915DD40D9}"/>
    <hyperlink ref="F286" r:id="rId191" xr:uid="{F4AA8621-4990-4889-9012-27F14BB1B1EF}"/>
    <hyperlink ref="F303" r:id="rId192" xr:uid="{742275EC-543E-44C8-ACBA-758AE537D41C}"/>
    <hyperlink ref="F170" r:id="rId193" xr:uid="{9233F24B-BD22-424D-85EC-E3F98697596E}"/>
    <hyperlink ref="F171" r:id="rId194" xr:uid="{120C6628-C843-4F04-818F-68AB0DC0C65C}"/>
    <hyperlink ref="F150" r:id="rId195" display="https://www.elibuyukoto.com/products/audi-a3-seat-cordoba-ibiza-leon-toledo-octavia-volkswagen-bora-golf-jetta-polo-kilometre-sensoru-1h0919149a?variant=42968286986333&amp;country=TR&amp;currency=TRY&amp;utm_medium=product_sync&amp;utm_source=google&amp;utm_content=sag_organic&amp;utm_campaign=sag_organic&amp;srsltid=AfmBOor3SAx0I_bJLdhhDO1kTx7UqLWGTJ06ciXmIUyHC8m6D-uObhTPWHM" xr:uid="{5401C519-EE61-4C23-97F3-68FD6A5FD6DA}"/>
    <hyperlink ref="F238" r:id="rId196" xr:uid="{1BFCAD87-BECF-4B0D-9F33-4E411B15322E}"/>
    <hyperlink ref="F239" r:id="rId197" xr:uid="{3C061910-A5FC-4A4C-8A0B-823944638EFA}"/>
    <hyperlink ref="F240" r:id="rId198" xr:uid="{93D64D6F-338E-40C3-AF0B-5D77454FF6E9}"/>
    <hyperlink ref="F241" r:id="rId199" xr:uid="{2757A8B2-2812-4776-89EE-06D6A58C6062}"/>
    <hyperlink ref="F242" r:id="rId200" xr:uid="{A047A469-1B78-4327-A3E3-78D6F745DE5C}"/>
    <hyperlink ref="F243" r:id="rId201" xr:uid="{F151F716-0EB8-4123-813E-5A7B4D9429ED}"/>
    <hyperlink ref="F244" r:id="rId202" xr:uid="{B053883A-882B-40EC-99A2-2CD5619DCED1}"/>
    <hyperlink ref="F245" r:id="rId203" xr:uid="{3DBD3B5E-2DBA-417E-A8F4-DACE2D10C880}"/>
    <hyperlink ref="F246" r:id="rId204" xr:uid="{F398B70D-4517-47C8-B7A3-8E152651033C}"/>
    <hyperlink ref="F247" r:id="rId205" xr:uid="{C0801C7B-9145-48B8-8A7B-ED5BE48A9891}"/>
    <hyperlink ref="F248" r:id="rId206" xr:uid="{F52E2B28-E874-4B42-8C8D-46428DEC35CD}"/>
    <hyperlink ref="F249" r:id="rId207" xr:uid="{803F59E6-B0C6-42F5-AF6D-082D3B89DD18}"/>
    <hyperlink ref="F250" r:id="rId208" xr:uid="{E7BDF505-42AB-41E6-989E-F410F3DC3470}"/>
    <hyperlink ref="F251" r:id="rId209" xr:uid="{332B3CB1-E270-46FD-A02B-E2C1981E81DF}"/>
    <hyperlink ref="F252" r:id="rId210" xr:uid="{3B354CF0-4811-411F-9A2D-38EAFD008F43}"/>
    <hyperlink ref="F253" r:id="rId211" xr:uid="{4836423C-DD9C-4444-9CEF-825656367918}"/>
    <hyperlink ref="F254" r:id="rId212" xr:uid="{2A50B4C3-7EF8-4A2C-9B32-420A518AB733}"/>
    <hyperlink ref="F255" r:id="rId213" xr:uid="{0EBEA465-9E53-48A2-A905-03378FFB6031}"/>
    <hyperlink ref="F256" r:id="rId214" xr:uid="{942EE472-BA48-48FF-A5C4-1E2DD21A6318}"/>
    <hyperlink ref="F257" r:id="rId215" xr:uid="{10E606D5-2901-4E72-B297-4DB386EEF3A5}"/>
    <hyperlink ref="F258" r:id="rId216" xr:uid="{A7F3DACD-4718-4DC2-A70D-BE9C99C79663}"/>
    <hyperlink ref="F259" r:id="rId217" xr:uid="{41BC9B1D-444D-41F7-A506-CC8A6A18E70B}"/>
    <hyperlink ref="F260" r:id="rId218" xr:uid="{D5348BB9-E612-47C6-BF4E-605227388C19}"/>
    <hyperlink ref="F261" r:id="rId219" xr:uid="{E91A7AFE-D328-41E9-A261-88E8448D2FBB}"/>
    <hyperlink ref="F262" r:id="rId220" xr:uid="{B00AC9EB-3EAF-41B2-BD0E-099286B055A0}"/>
    <hyperlink ref="F263" r:id="rId221" xr:uid="{F8337853-908A-4CE7-9D85-446373BFE34B}"/>
    <hyperlink ref="F264" r:id="rId222" xr:uid="{80CDCC79-A853-440C-8821-A1153FF24067}"/>
    <hyperlink ref="F265" r:id="rId223" xr:uid="{C18B332B-6C4D-457E-9288-0865C3EFD748}"/>
    <hyperlink ref="F266" r:id="rId224" xr:uid="{A7D72C22-AE94-4925-95CA-339B9D87E1FF}"/>
    <hyperlink ref="F267" r:id="rId225" xr:uid="{2CA754A7-E540-45D0-8B1D-91E64A9A7759}"/>
    <hyperlink ref="F268" r:id="rId226" xr:uid="{97F9217B-24D1-4EF7-9755-DA791B247696}"/>
    <hyperlink ref="F269" r:id="rId227" xr:uid="{273339C1-0919-4545-B7E6-2BA4EEF64764}"/>
    <hyperlink ref="F270" r:id="rId228" xr:uid="{82D6DAC9-5B13-4F4A-97CD-658514FA45A7}"/>
    <hyperlink ref="F271" r:id="rId229" xr:uid="{8C16964C-EA0D-475C-A5E7-505B396F4AE5}"/>
    <hyperlink ref="F272" r:id="rId230" xr:uid="{40DDEC3D-8A37-40C4-B2D1-BA6A564E63A5}"/>
    <hyperlink ref="F273" r:id="rId231" xr:uid="{9D9BAC08-184C-4703-8584-022C25247A2A}"/>
    <hyperlink ref="F274" r:id="rId232" xr:uid="{4D8DA648-03FB-4345-888A-43667CEC030D}"/>
    <hyperlink ref="F275" r:id="rId233" xr:uid="{9E9330DE-8DD5-4BD1-9944-3946E664D8CC}"/>
    <hyperlink ref="F276" r:id="rId234" xr:uid="{B0632462-703A-4129-A584-1700D45FF436}"/>
    <hyperlink ref="F277" r:id="rId235" xr:uid="{8ABFE82B-1E54-4A77-89CA-94F7608E9E58}"/>
    <hyperlink ref="F278" r:id="rId236" xr:uid="{9AF13B69-51FE-4575-930F-84C31F002D8F}"/>
    <hyperlink ref="F279" r:id="rId237" xr:uid="{79F7AAE7-C30F-409C-915B-0269A8107CDD}"/>
    <hyperlink ref="F280" r:id="rId238" xr:uid="{D83DBF3B-FBCA-4EDC-A36C-9401C037DF82}"/>
    <hyperlink ref="F281" r:id="rId239" xr:uid="{885F31AC-AF34-4E5B-A5E1-5B1D6072B4DE}"/>
    <hyperlink ref="F282" r:id="rId240" xr:uid="{AE43EE85-8CCB-47A5-8E20-A085D6326EB5}"/>
    <hyperlink ref="F283" r:id="rId241" xr:uid="{5D9E1919-3B35-42F2-B7AC-15259875BEC2}"/>
    <hyperlink ref="F285" r:id="rId242" xr:uid="{BC881087-138E-48F0-9DC4-2DAAE5ED3744}"/>
    <hyperlink ref="F287" r:id="rId243" xr:uid="{F41F01A2-838A-4CA3-BDE0-190B263390FE}"/>
    <hyperlink ref="F288" r:id="rId244" xr:uid="{781311EE-A1A0-435C-B242-2C8E3F6EFB9A}"/>
    <hyperlink ref="F289" r:id="rId245" xr:uid="{F5055871-B1B7-4852-A5BE-6A3BEDA0F224}"/>
    <hyperlink ref="F290" r:id="rId246" xr:uid="{CCD9C298-045B-44CB-AD59-FAF1B1EC0E2E}"/>
    <hyperlink ref="F291" r:id="rId247" xr:uid="{3A47233E-1E1C-4326-8AF2-B55B0BD99733}"/>
    <hyperlink ref="F292" r:id="rId248" xr:uid="{E4B3CBB1-32C9-4C81-ACFD-42AF0E10BCBE}"/>
    <hyperlink ref="F293" r:id="rId249" xr:uid="{9EAAB27B-106E-474E-80FE-906449574D24}"/>
    <hyperlink ref="F294" r:id="rId250" xr:uid="{3E9F6560-4B7E-4DEE-89FD-9343C47E644A}"/>
    <hyperlink ref="F295" r:id="rId251" xr:uid="{A2E8735F-399D-45C1-BE9D-DC9E290F306D}"/>
    <hyperlink ref="F296" r:id="rId252" xr:uid="{8A55BA57-EF7D-4B38-AF07-8948CBCE5C82}"/>
    <hyperlink ref="F297" r:id="rId253" xr:uid="{15D4BD8B-D73A-4ACA-9110-A89BD71F17BC}"/>
    <hyperlink ref="F298" r:id="rId254" xr:uid="{7A626CED-93AE-4605-95C3-B50D70856A67}"/>
    <hyperlink ref="F299" r:id="rId255" xr:uid="{A68217DA-2441-440F-A768-DA7B50CA3726}"/>
    <hyperlink ref="F300" r:id="rId256" xr:uid="{F678C20A-3EEC-4318-89AD-5C0555003994}"/>
    <hyperlink ref="F301" r:id="rId257" xr:uid="{7EC9911D-E3D7-4D02-907B-D1D515642264}"/>
    <hyperlink ref="F305" r:id="rId258" xr:uid="{F52E8684-6559-483D-9399-FFC24DE476D5}"/>
    <hyperlink ref="F306" r:id="rId259" xr:uid="{B065B193-A1DA-4457-8393-D0726F98F264}"/>
    <hyperlink ref="F307" r:id="rId260" xr:uid="{887B6F48-CC6F-45F7-9534-C50C9CB88CF2}"/>
    <hyperlink ref="F308" r:id="rId261" xr:uid="{D0D1004B-0CB5-48BF-9D26-F45FA75DAF7D}"/>
    <hyperlink ref="F309" r:id="rId262" xr:uid="{D7C81BAB-B13A-4053-A2B8-EE4EC9D9F374}"/>
    <hyperlink ref="F310" r:id="rId263" xr:uid="{95F697F8-931E-4839-83AE-3163FD48008B}"/>
    <hyperlink ref="F311" r:id="rId264" xr:uid="{064E23D0-5A22-4F7F-8DC6-5628D6999871}"/>
    <hyperlink ref="F312" r:id="rId265" xr:uid="{20D936CD-3A04-414C-ACD4-A34F1C9479E1}"/>
    <hyperlink ref="F313" r:id="rId266" xr:uid="{B67C789E-5A99-4FF5-B486-53184D1073D1}"/>
    <hyperlink ref="F314" r:id="rId267" xr:uid="{11BC9428-884F-4A5B-8B11-7B4CD641D7B3}"/>
    <hyperlink ref="F315" r:id="rId268" xr:uid="{A4CE1241-9946-4418-A4C7-6A560B25321C}"/>
    <hyperlink ref="F316" r:id="rId269" xr:uid="{E4E7B772-30BA-423F-A12F-42D87BB9E851}"/>
    <hyperlink ref="F317" r:id="rId270" xr:uid="{E5863819-653D-4561-8008-89CE92600117}"/>
    <hyperlink ref="F318" r:id="rId271" xr:uid="{310A9056-29FD-4179-884C-4C4F4CB30287}"/>
    <hyperlink ref="F319" r:id="rId272" xr:uid="{A3C4070E-EDE0-4839-A5CB-7EAF9957AF01}"/>
    <hyperlink ref="F320" r:id="rId273" xr:uid="{0C320026-3CEC-40D5-A410-C5B8573263D9}"/>
    <hyperlink ref="F321" r:id="rId274" xr:uid="{6562628E-ECF5-4961-807F-C0DEEC97857C}"/>
    <hyperlink ref="F322" r:id="rId275" xr:uid="{0C88B741-3C14-4AF7-AB5D-36E47ED259DF}"/>
    <hyperlink ref="F323" r:id="rId276" xr:uid="{36706557-BD3D-435D-BD33-02A72959E232}"/>
    <hyperlink ref="F324" r:id="rId277" xr:uid="{13C1A1D5-67AC-4125-9746-44122F994C72}"/>
    <hyperlink ref="F325" r:id="rId278" xr:uid="{2F7439B7-7E93-465F-B69F-F812143F0F03}"/>
    <hyperlink ref="F326" r:id="rId279" xr:uid="{41B826D7-05D6-4294-82F5-93C639008439}"/>
    <hyperlink ref="F327" r:id="rId280" xr:uid="{BA636BA4-E234-4DFB-A7C9-1ABA9B7F09EB}"/>
    <hyperlink ref="F328" r:id="rId281" xr:uid="{E39EC5C2-F9E5-43CA-B366-27614FF27642}"/>
    <hyperlink ref="F329" r:id="rId282" xr:uid="{B3101007-0F39-42DF-8BE3-B340336A8C75}"/>
    <hyperlink ref="F330" r:id="rId283" xr:uid="{AB107A0A-D05D-4257-A707-96B914F20B06}"/>
    <hyperlink ref="F331" r:id="rId284" xr:uid="{F0407858-310D-4C26-BAE4-6D87127BBE71}"/>
    <hyperlink ref="F332" r:id="rId285" xr:uid="{E2337C81-CA62-491E-AD1A-C8B5927F1505}"/>
    <hyperlink ref="F236" r:id="rId286" xr:uid="{FD6DAC0B-8948-4A51-A909-3A0C3723C9F9}"/>
    <hyperlink ref="F237" r:id="rId287" xr:uid="{6074F97B-B2D4-40AA-8016-BF38745B7B5D}"/>
    <hyperlink ref="F333" r:id="rId288" xr:uid="{D113ECE2-CE1B-40F9-BBB4-00CC76C15A25}"/>
    <hyperlink ref="F78" r:id="rId289" xr:uid="{5A0F3FB7-B26E-4FEB-96CF-C4AE867CF33A}"/>
    <hyperlink ref="F65" r:id="rId290" xr:uid="{8292AD9D-3056-459E-8A08-45BFC3E64D93}"/>
    <hyperlink ref="F64" r:id="rId291" xr:uid="{0258C5CE-6CE5-41D0-83CE-C564E2650F09}"/>
    <hyperlink ref="F63" r:id="rId292" xr:uid="{5EA190E2-ABF2-4147-862D-7E07699F3A56}"/>
    <hyperlink ref="F61" r:id="rId293" xr:uid="{62D26747-3309-4836-B897-5783C5EBA0F3}"/>
    <hyperlink ref="F60" r:id="rId294" xr:uid="{232C5729-4BE5-44E6-A0DB-A26406AE7B5A}"/>
    <hyperlink ref="F59" r:id="rId295" xr:uid="{428BF9B2-4BAA-49A3-B8E3-610BCD8AF01E}"/>
    <hyperlink ref="F58" r:id="rId296" xr:uid="{FE1E4186-A43D-4580-8DE5-EF3901DD97DE}"/>
    <hyperlink ref="F48" r:id="rId297" xr:uid="{DCFABE3B-C993-4231-A474-21D18BF81368}"/>
    <hyperlink ref="F47" r:id="rId298" xr:uid="{EB1EAC4F-2FF5-4951-B68A-2FAC0F6FAA43}"/>
    <hyperlink ref="F46" r:id="rId299" xr:uid="{3CCE281C-744C-4A1C-8F55-978A1CB9D60E}"/>
    <hyperlink ref="F45" r:id="rId300" xr:uid="{4FDFC340-9D1B-4FE9-A55E-B0D4C79EC040}"/>
    <hyperlink ref="F44" r:id="rId301" xr:uid="{571433AF-D7D7-4CAA-B35F-4F57ECBB440A}"/>
    <hyperlink ref="F42" r:id="rId302" xr:uid="{0F6AF511-3A25-4B35-A16D-272AAA1222F7}"/>
    <hyperlink ref="F41" r:id="rId303" xr:uid="{FE5503A3-9BAA-424B-8693-8B11592ED48A}"/>
    <hyperlink ref="F40" r:id="rId304" xr:uid="{5959D2DE-90AA-4D98-8A0C-E39294E3ACDA}"/>
    <hyperlink ref="F39" r:id="rId305" xr:uid="{146288BE-0606-4BD4-A602-9777A44C4E27}"/>
    <hyperlink ref="F38" r:id="rId306" xr:uid="{7AFDEB4F-A8A7-46FD-8C5A-82C0C78FE893}"/>
    <hyperlink ref="F126" r:id="rId307" xr:uid="{86276166-AC77-477A-8E9D-9E291A7FC051}"/>
    <hyperlink ref="F127" r:id="rId308" xr:uid="{B6677BF9-E004-44A2-B95B-12BF8FE5C452}"/>
    <hyperlink ref="F128" r:id="rId309" xr:uid="{E2493868-F02F-4CED-BD66-3BC20B54AFF5}"/>
    <hyperlink ref="F87" r:id="rId310" xr:uid="{8C59771D-2079-492E-AFAD-53D0DD47BB8E}"/>
    <hyperlink ref="F68" r:id="rId311" xr:uid="{B2FD3365-66BA-45DD-BEFE-CE97BD50AC2A}"/>
    <hyperlink ref="F139" r:id="rId312" xr:uid="{7568482C-8763-4201-92EE-CA9F244122DE}"/>
    <hyperlink ref="F57" r:id="rId313" xr:uid="{BAC1101C-156E-4A18-BDD8-61B201FE7ACC}"/>
    <hyperlink ref="F162" r:id="rId314" xr:uid="{2DE5F93C-6065-4DAB-A281-620D912E6258}"/>
    <hyperlink ref="F163" r:id="rId315" xr:uid="{9B9F6051-B1EF-4A80-AFBA-572A086A20F2}"/>
    <hyperlink ref="F164" r:id="rId316" xr:uid="{21D78C99-EA0C-4B57-B0DC-E9EFBD8B9156}"/>
    <hyperlink ref="F165" r:id="rId317" xr:uid="{955A056C-EEE1-47BF-AA8D-286348D453A1}"/>
    <hyperlink ref="F166" r:id="rId318" xr:uid="{B98F735F-DF16-433A-B2A7-A5D523343D67}"/>
    <hyperlink ref="F167" r:id="rId319" xr:uid="{42DF8479-4B47-44C8-851C-4FB8318A8036}"/>
    <hyperlink ref="F334" r:id="rId320" xr:uid="{3716192E-E799-4BF5-941F-EA24A184D7B8}"/>
    <hyperlink ref="F335" r:id="rId321" xr:uid="{04E2B379-D46E-4CD3-AC5D-9125196F3B99}"/>
    <hyperlink ref="F337" r:id="rId322" xr:uid="{DDDE31B1-27A2-439F-AF86-4D26CDDD9F2F}"/>
    <hyperlink ref="F336" r:id="rId323" xr:uid="{24FD40A5-A590-42D2-A469-6D0F40A16E16}"/>
    <hyperlink ref="F471" r:id="rId324" xr:uid="{7A9FB200-BB2E-4EF1-8D3B-32FE005D8D09}"/>
    <hyperlink ref="F472" r:id="rId325" xr:uid="{D9415C59-57ED-4AFA-9435-583791B5BEC0}"/>
    <hyperlink ref="F473" r:id="rId326" xr:uid="{73AB7046-7F6A-4434-9B4E-FED9905506F2}"/>
    <hyperlink ref="F151" r:id="rId327" xr:uid="{6BC03717-C81A-487B-876F-6873989F5E38}"/>
    <hyperlink ref="F152" r:id="rId328" xr:uid="{5F8B0688-384F-4FE4-AE8C-92C8F63907EE}"/>
    <hyperlink ref="F339" r:id="rId329" xr:uid="{CFC43E80-4DF8-450E-B922-6CF95FD94CF8}"/>
    <hyperlink ref="F338" r:id="rId330" xr:uid="{9A7191B6-B473-482F-B8B1-03D2F3DF4011}"/>
    <hyperlink ref="F341" r:id="rId331" xr:uid="{A8B76741-3C9E-4483-A37F-93D1679DCCEC}"/>
    <hyperlink ref="F342" r:id="rId332" xr:uid="{7EAC6115-11DF-44C5-9905-F32131FD8344}"/>
    <hyperlink ref="F343" r:id="rId333" xr:uid="{D12ADA7D-9B1B-4DBB-AD35-7EC6F5E722F4}"/>
    <hyperlink ref="F344" r:id="rId334" xr:uid="{17737D77-875F-45F3-9B6C-D6861F024E22}"/>
    <hyperlink ref="F373" r:id="rId335" xr:uid="{61E06951-613C-4AA1-9817-0FFEA81A17ED}"/>
    <hyperlink ref="F372" r:id="rId336" xr:uid="{EB86E92F-535A-4098-A4FF-EE0E400BB6D0}"/>
    <hyperlink ref="F371" r:id="rId337" xr:uid="{E86ADB6C-C50C-4C52-9704-E9335E3CA815}"/>
    <hyperlink ref="F370" r:id="rId338" xr:uid="{575B0B08-757F-45E3-85D0-CE3A58376BA1}"/>
    <hyperlink ref="F369" r:id="rId339" xr:uid="{6E373F5B-2060-4A15-9228-8DD989A6E818}"/>
    <hyperlink ref="F374" r:id="rId340" xr:uid="{5150791B-01C2-4199-89EE-E3EA3B9D61E9}"/>
    <hyperlink ref="F379" r:id="rId341" xr:uid="{82238A70-20A2-4E2D-8DF8-0F1DF4368788}"/>
    <hyperlink ref="F380" r:id="rId342" xr:uid="{9C8CF8A6-60C1-419E-9C95-362F43B5D2FE}"/>
    <hyperlink ref="F396" r:id="rId343" xr:uid="{94249564-02F4-4789-A8F0-F3F6EAEDF99C}"/>
    <hyperlink ref="F405" r:id="rId344" xr:uid="{34A81971-3255-49C1-B525-5FB7F825A5DB}"/>
    <hyperlink ref="F351" r:id="rId345" xr:uid="{E72205D9-8E45-4EEB-BEE5-D89602B0B43D}"/>
    <hyperlink ref="F407" r:id="rId346" xr:uid="{8C55D8CA-4100-4AEF-901F-555C1923AE34}"/>
    <hyperlink ref="F408" r:id="rId347" xr:uid="{D89D38C9-2313-404F-8347-7687DD9B7E4F}"/>
    <hyperlink ref="F401" r:id="rId348" xr:uid="{DB1FD956-D83F-4A18-8F0F-CA8195F5E62F}"/>
    <hyperlink ref="F368" r:id="rId349" xr:uid="{3E411300-071E-47DF-A0C9-AC12FF1C2B7C}"/>
    <hyperlink ref="F352" r:id="rId350" xr:uid="{615AAD5F-3EA6-4857-98BA-CAB85C52336E}"/>
    <hyperlink ref="F345" r:id="rId351" xr:uid="{F19EB2CC-EE2C-4E68-850C-97A68F9859EE}"/>
    <hyperlink ref="F346" r:id="rId352" xr:uid="{B0B4E708-72CC-4CA1-972C-D6F3B61DA810}"/>
    <hyperlink ref="F347" r:id="rId353" xr:uid="{24109620-B897-4516-BE42-88611FAA92EC}"/>
    <hyperlink ref="F348" r:id="rId354" xr:uid="{7ED49151-5976-4792-B252-DA88E5C7B3A3}"/>
    <hyperlink ref="F349" r:id="rId355" xr:uid="{7EC313CE-DF8E-439B-AC05-78130708138D}"/>
    <hyperlink ref="F350" r:id="rId356" xr:uid="{A372DDA6-5A9F-4763-9AFC-251E8F131151}"/>
    <hyperlink ref="F353" r:id="rId357" xr:uid="{F2134F8A-AED3-49FE-9BC7-AE5E4E4854A3}"/>
    <hyperlink ref="F354" r:id="rId358" xr:uid="{CA85189A-0F3E-408D-B2C3-31479EA0EF62}"/>
    <hyperlink ref="F355" r:id="rId359" xr:uid="{9428B005-F0E3-4459-8408-AEA62E121FBE}"/>
    <hyperlink ref="F356" r:id="rId360" xr:uid="{A74CE011-D7D2-4CBA-9E6C-6F56086B1AB9}"/>
    <hyperlink ref="F357" r:id="rId361" xr:uid="{34A34CC9-C6D5-4BF8-A2B8-5AA1631A7543}"/>
    <hyperlink ref="F358" r:id="rId362" xr:uid="{901F32CF-94AB-459B-97F8-C0128D014BCD}"/>
    <hyperlink ref="F359" r:id="rId363" xr:uid="{B77DC193-9CA7-4DEF-B1BB-A7FD10B2E44B}"/>
    <hyperlink ref="F360" r:id="rId364" xr:uid="{8B839293-1857-4743-83A7-14BD82F10EC6}"/>
    <hyperlink ref="F361" r:id="rId365" xr:uid="{14819569-5101-41DB-A99C-485F9F5AD0C5}"/>
    <hyperlink ref="F362" r:id="rId366" xr:uid="{8C2BB58E-095F-4DF1-B9E5-27B21BE777D6}"/>
    <hyperlink ref="F363" r:id="rId367" xr:uid="{3EA75504-455C-4B54-B35D-4F4D05549C25}"/>
    <hyperlink ref="F364" r:id="rId368" xr:uid="{EC6E891F-0C6A-4A42-BDDD-3DEB46DA45F9}"/>
    <hyperlink ref="F365" r:id="rId369" xr:uid="{608238AF-9637-480D-B473-22A8D05E853E}"/>
    <hyperlink ref="F366" r:id="rId370" xr:uid="{3AAEAEFD-9F38-4ED6-848B-81BC0BD2CF38}"/>
    <hyperlink ref="F367" r:id="rId371" xr:uid="{F3FD6945-A617-4CAF-9A68-1BE6BD58AE8F}"/>
    <hyperlink ref="F375" r:id="rId372" xr:uid="{F35B8877-AF01-43B8-9996-AB55EEDACE44}"/>
    <hyperlink ref="F376" r:id="rId373" xr:uid="{D80B6EE1-5AFC-45D9-8B79-92A77CCB13F9}"/>
    <hyperlink ref="F377" r:id="rId374" xr:uid="{831E307E-601C-4C8D-857F-551686B16643}"/>
    <hyperlink ref="F378" r:id="rId375" xr:uid="{7243C4C1-D9D4-46CA-B14C-BAFD3FD27ABC}"/>
    <hyperlink ref="F381" r:id="rId376" xr:uid="{7A2E93E1-9324-414F-8A08-A8BC98584069}"/>
    <hyperlink ref="F382" r:id="rId377" xr:uid="{C8B9BFAF-A65A-4178-8AA9-1F5844DCB104}"/>
    <hyperlink ref="F383" r:id="rId378" xr:uid="{FE4AC8CB-49EB-4A34-AFC5-B274B994E37E}"/>
    <hyperlink ref="F384" r:id="rId379" xr:uid="{CEE324CD-4B3A-40F0-8365-5889664438A6}"/>
    <hyperlink ref="F385" r:id="rId380" xr:uid="{BA813589-C961-41A7-8C63-53D8AD678A3C}"/>
    <hyperlink ref="F386" r:id="rId381" xr:uid="{F0580258-B6E7-4A92-879B-74BF6761547D}"/>
    <hyperlink ref="F387" r:id="rId382" xr:uid="{28D18AD5-776E-4497-951B-C115F502F937}"/>
    <hyperlink ref="F388" r:id="rId383" xr:uid="{8DF6175B-3C43-4487-9873-062CB3050303}"/>
    <hyperlink ref="F389" r:id="rId384" xr:uid="{0787ED73-904E-4E20-8DCB-CE8AA280E645}"/>
    <hyperlink ref="F390" r:id="rId385" xr:uid="{4BA6226A-F40F-471A-A006-3E5853A13773}"/>
    <hyperlink ref="F391" r:id="rId386" xr:uid="{430673B3-8CD5-4B6D-B6B0-12E227F73C87}"/>
    <hyperlink ref="F392" r:id="rId387" xr:uid="{64C4A154-FDAD-45AE-831F-2ED1838F70AE}"/>
    <hyperlink ref="F393" r:id="rId388" xr:uid="{74449EB9-BA6D-4857-B721-38691222E74D}"/>
    <hyperlink ref="F394" r:id="rId389" xr:uid="{A12B3321-BF99-44F1-987C-38C169727E36}"/>
    <hyperlink ref="F395" r:id="rId390" xr:uid="{904B4081-96C8-43ED-B572-BD1C17067841}"/>
    <hyperlink ref="F397" r:id="rId391" xr:uid="{1CF294EF-1222-42A9-AD71-7A2F26AE38E6}"/>
    <hyperlink ref="F398" r:id="rId392" xr:uid="{B133ABCA-B54F-4DDF-B242-9273F159CC07}"/>
    <hyperlink ref="F399" r:id="rId393" xr:uid="{860FBC06-DD4A-444E-A830-91CC05EB122B}"/>
    <hyperlink ref="F400" r:id="rId394" xr:uid="{B07CC877-A5B2-476A-83AF-0A7F92DBA174}"/>
    <hyperlink ref="F402" r:id="rId395" display="https://www.ozdisan.com/p/driver-receiver-ve-transceiver-entegreleri-229/texas-sn65hvd75dr-484175?https://www.ozdisan.com/?utm_source=google&amp;utm_medium=cpc&amp;utm_campaign=creamake+_pmax_tr&amp;utm_id=pmax-tr&amp;utm_term=%7Bkeyword%7D&amp;utm_content=%7Bcreative%7D&amp;gad_source=1&amp;gad_campaignid=23585524288&amp;gclid=CjwKCAjwtcHPBhADEiwAWo3sJn17ycMH8zdQNEfI9D0XK1gBB57r8lk1nAhjV5Q1-gaCs9RHR3VlHxoC2DUQAvD_BwE" xr:uid="{AA6E7643-21AC-46DE-94E8-922B613F4D83}"/>
    <hyperlink ref="F403" r:id="rId396" xr:uid="{D5C65DBF-0288-4909-9584-C95609A4E0F3}"/>
    <hyperlink ref="F404" r:id="rId397" xr:uid="{338AEC92-E72D-4064-B19E-0D7E6E50085C}"/>
    <hyperlink ref="F406" r:id="rId398" xr:uid="{69CC7558-A663-426B-98CA-62B3F0854CB3}"/>
    <hyperlink ref="F409" r:id="rId399" xr:uid="{D94DFFCB-9390-483A-A599-076B6CDF1B12}"/>
    <hyperlink ref="F410" r:id="rId400" xr:uid="{43824246-B636-47BB-95EE-9432766D6C8C}"/>
    <hyperlink ref="F411" r:id="rId401" xr:uid="{9B55399B-70E4-4D2A-8CB8-86F9A89783F4}"/>
    <hyperlink ref="F412" r:id="rId402" xr:uid="{98D89E06-356C-46D4-9004-15336780B0AE}"/>
    <hyperlink ref="F413" r:id="rId403" xr:uid="{A14301BA-A3E1-4328-8824-092680ABC134}"/>
    <hyperlink ref="F414" r:id="rId404" xr:uid="{422BC369-F4E5-495E-909D-F060593CA982}"/>
    <hyperlink ref="F415" r:id="rId405" xr:uid="{DCEF7956-5699-4EC3-B1E7-8703B74B7B14}"/>
    <hyperlink ref="F416" r:id="rId406" xr:uid="{12435232-B440-4EC2-8F12-BCECE543AC38}"/>
    <hyperlink ref="F136" r:id="rId407" xr:uid="{CC148515-FD8A-4381-97CA-FF057C857E2B}"/>
    <hyperlink ref="F153" r:id="rId408" xr:uid="{DF9A7861-75BC-4933-8B19-9723B2FD09AD}"/>
    <hyperlink ref="F154" r:id="rId409" xr:uid="{77D2E506-E276-4626-85B0-BF0BE6677DE2}"/>
    <hyperlink ref="F340" r:id="rId410" xr:uid="{280B3176-B92A-4FEB-988D-8EE6FD2CBF04}"/>
    <hyperlink ref="F420" r:id="rId411" xr:uid="{E135440E-F503-4985-AF38-879EA13CED2B}"/>
    <hyperlink ref="F446" r:id="rId412" xr:uid="{101B5942-C1EE-4E37-A36B-B9C8CB27072C}"/>
    <hyperlink ref="F464" r:id="rId413" xr:uid="{A5C10392-5C98-4443-A30B-01CEFDC73484}"/>
    <hyperlink ref="F417" r:id="rId414" xr:uid="{04BAFD40-212B-40DE-BFB8-FE1E25D31FB2}"/>
    <hyperlink ref="F418" r:id="rId415" xr:uid="{78E6E224-3C51-4073-99C3-CB1668CBD480}"/>
    <hyperlink ref="F419" r:id="rId416" xr:uid="{A8432946-5557-4B78-9295-56A229720FC7}"/>
    <hyperlink ref="F421" r:id="rId417" xr:uid="{913599CE-6679-4652-B37A-CEB6EF0FE436}"/>
    <hyperlink ref="F422" r:id="rId418" xr:uid="{55C1BF3E-DC09-4876-B413-8BA84D26931A}"/>
    <hyperlink ref="F423" r:id="rId419" xr:uid="{0F4217DA-0EED-49EF-9066-B24E90D3E5B6}"/>
    <hyperlink ref="F424" r:id="rId420" xr:uid="{557AEB66-28C2-4729-BA1F-01F60522BE98}"/>
    <hyperlink ref="F425" r:id="rId421" xr:uid="{26813202-AC1A-4D5E-9AA9-A2FAE47BD088}"/>
    <hyperlink ref="F426" r:id="rId422" xr:uid="{6F56F986-B7C4-4823-B5E7-11294C0547EA}"/>
    <hyperlink ref="F427" r:id="rId423" xr:uid="{0EC406CF-AFEE-40B7-BACE-EA488D9F7A3E}"/>
    <hyperlink ref="F428" r:id="rId424" xr:uid="{D521C839-BFE6-4D59-AFFA-FC2545C3B9C2}"/>
    <hyperlink ref="F429" r:id="rId425" display="https://www.direnc.net/1n4148-diyot-mic?utm_source=google&amp;utm_medium=cpc&amp;utm_campaign=0100-pmax-alfa&amp;gad_source=1&amp;gad_campaignid=22157331511&amp;gbraid=0AAAAAD2u3wogkxUn3gl6M-S2mH6thwb5g&amp;gclid=CjwKCAjw8arQBhB9EiwAfIKdQg46hJkTYn8p66Y71EqCDZ7i5zBvTjl9GAcBjvlAR4p3MQnVRid5OBoCmsEQAvD_BwE" xr:uid="{DDD1520A-A5F8-47C0-B54C-E7A08FB028C9}"/>
    <hyperlink ref="F430" r:id="rId426" xr:uid="{3970BFA7-B755-4C50-A4A1-78896767B86B}"/>
    <hyperlink ref="F431" r:id="rId427" xr:uid="{B7D0E0E4-7F31-4D59-8528-8B1EECFEE0F3}"/>
    <hyperlink ref="F432" r:id="rId428" xr:uid="{CA982BB9-2773-4664-8DC5-F5743C22D9AE}"/>
    <hyperlink ref="F433" r:id="rId429" xr:uid="{E29306A5-DAC8-44A8-9EE8-DFCCB9F6F531}"/>
    <hyperlink ref="F434" r:id="rId430" xr:uid="{CB03CC37-43A5-4190-B926-E0D2C5CC1728}"/>
    <hyperlink ref="F435" r:id="rId431" xr:uid="{0DB468FD-49AE-411B-BD80-044EF4FB275B}"/>
    <hyperlink ref="F436" r:id="rId432" display="https://www.direnc.net/2-pin-381mm-90-gecmeli-takim-klemens-12403?language=tr&amp;h=0368915a&amp;utm_source=google&amp;utm_medium=cpc&amp;utm_campaign=0200-pmax-beta&amp;gad_source=4&amp;gad_campaignid=20399507008&amp;gbraid=0AAAAAD2u3wra5ZYyKT5LFolybSIhf8ndc&amp;gclid=CjwKCAjw8arQBhB9EiwAfIKdQkGkMLjhGT_00Gh3Npb0zmDAusMtHU2wHnVns3-PQmPXVvT_A61ShRoCUQEQAvD_BwE" xr:uid="{AE08FD8A-1C2F-4717-A8AA-862DF9382EA1}"/>
    <hyperlink ref="F437" r:id="rId433" display="https://www.direnc.net/2-pin-381mm-90-gecmeli-takim-klemens?language=tr&amp;h=214db9b9&amp;utm_source=google&amp;utm_medium=cpc&amp;utm_campaign=0200-pmax-beta&amp;gad_source=4&amp;gad_campaignid=20399507008&amp;gbraid=0AAAAAD2u3wra5ZYyKT5LFolybSIhf8ndc&amp;gclid=CjwKCAjw8arQBhB9EiwAfIKdQsuZkBO2KGkmKe_Of5SEwjazbv6dVFWb5MgzvIdDKp3yqwbLCEdwphoCIvAQAvD_BwE" xr:uid="{CFE810C4-E59A-4622-8C3B-A82C759EC77E}"/>
    <hyperlink ref="F438" r:id="rId434" xr:uid="{7E6882BB-C475-424C-95E1-96B78AF294D2}"/>
    <hyperlink ref="F439" r:id="rId435" xr:uid="{C9B187FB-CC55-498B-B7C4-1030224BE6E3}"/>
    <hyperlink ref="F440" r:id="rId436" xr:uid="{F8CD8224-12C5-4F3F-BF76-16A2FD3CD1FD}"/>
    <hyperlink ref="F441" r:id="rId437" xr:uid="{690C0B41-9390-4A78-BB98-3E5C0BDBDDE2}"/>
    <hyperlink ref="F442" r:id="rId438" xr:uid="{D9D6A259-2667-41A3-AAF4-B412D50B4CE5}"/>
    <hyperlink ref="F443" r:id="rId439" xr:uid="{747A758E-E921-4C78-BEBE-17EF1F02ED6B}"/>
    <hyperlink ref="F444" r:id="rId440" xr:uid="{E3ADBF97-00DA-4A16-AD68-C8C57086ED19}"/>
    <hyperlink ref="F445" r:id="rId441" xr:uid="{9F77057D-954F-4227-8308-930D1B23E337}"/>
    <hyperlink ref="F447" r:id="rId442" xr:uid="{E16FA776-33F9-4D71-B310-45CE4910ADFC}"/>
    <hyperlink ref="F448" r:id="rId443" xr:uid="{F40D61C8-8548-42F8-B672-BBFA3729139B}"/>
    <hyperlink ref="F449" r:id="rId444" xr:uid="{DFBB94B9-8BEA-4C59-9327-C6EC00B76129}"/>
    <hyperlink ref="F450" r:id="rId445" xr:uid="{E4E48AB9-9090-45DC-B9E1-5CAD39ACDAC1}"/>
    <hyperlink ref="F451" r:id="rId446" xr:uid="{2BB999F9-A479-4D92-99A4-DDB0811195FE}"/>
    <hyperlink ref="F452" r:id="rId447" xr:uid="{FED6BAE5-8D9F-4B65-8E15-142720CAFB65}"/>
    <hyperlink ref="F453" r:id="rId448" xr:uid="{17BA3187-9105-4B3A-B5AA-AB8597194EE1}"/>
    <hyperlink ref="F454" r:id="rId449" xr:uid="{A873CDDE-2FFE-44BC-9EC7-AD546CA6CE98}"/>
    <hyperlink ref="F455" r:id="rId450" xr:uid="{95BDCDE0-6435-4AE0-ABB9-AF69ED58D793}"/>
    <hyperlink ref="F456" r:id="rId451" xr:uid="{12DAD3DE-B9C6-4F0E-BC91-08A8E2957E7C}"/>
    <hyperlink ref="F457" r:id="rId452" xr:uid="{66116F43-A1DD-44AB-A20A-B1677761D089}"/>
    <hyperlink ref="F458" r:id="rId453" xr:uid="{2BD39189-271C-4F43-BE87-253928D79705}"/>
    <hyperlink ref="F459" r:id="rId454" xr:uid="{E611A87B-7030-43F1-84AD-9250B043F8BC}"/>
    <hyperlink ref="F460" r:id="rId455" xr:uid="{DE89575C-4F59-4603-AFB8-5127E20565DD}"/>
    <hyperlink ref="F461" r:id="rId456" xr:uid="{721791B4-DA5D-42A3-B3D2-DAA30554A88B}"/>
    <hyperlink ref="F462" r:id="rId457" xr:uid="{3A2454E4-A955-4369-AC79-13C1DD35EF89}"/>
    <hyperlink ref="F463" r:id="rId458" xr:uid="{D5D776E3-F057-4C61-980A-6C2C1F80A2A1}"/>
    <hyperlink ref="F465" r:id="rId459" xr:uid="{CCE65C47-E5DF-417A-A0A6-EDBE82F2A8D0}"/>
    <hyperlink ref="F466" r:id="rId460" xr:uid="{0CCC87CD-60A6-40EF-8C29-127A5088CE16}"/>
    <hyperlink ref="F467" r:id="rId461" xr:uid="{B6C4ADF1-7114-405C-9772-8202B7385416}"/>
    <hyperlink ref="F468" r:id="rId462" xr:uid="{6B9F8F44-CE0D-4EAC-A75F-EAA317A1480B}"/>
    <hyperlink ref="F469" r:id="rId463" xr:uid="{E0194565-0AD8-40A2-9845-AE1798758035}"/>
    <hyperlink ref="F470" r:id="rId464" xr:uid="{6646E6F6-6B82-429D-9770-198BB861A961}"/>
    <hyperlink ref="F284" r:id="rId465" xr:uid="{A6D77C2E-A537-4E0F-AE96-FCCDF2BB5677}"/>
  </hyperlinks>
  <pageMargins left="0.7" right="0.7" top="0.75" bottom="0.75" header="0.3" footer="0.3"/>
  <pageSetup paperSize="9" scale="10" orientation="portrait" r:id="rId466"/>
  <colBreaks count="1" manualBreakCount="1">
    <brk id="27" max="3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Özinan</dc:creator>
  <cp:lastModifiedBy>ALPER ÖZİNAN</cp:lastModifiedBy>
  <cp:lastPrinted>2026-04-17T12:37:38Z</cp:lastPrinted>
  <dcterms:created xsi:type="dcterms:W3CDTF">2015-06-05T18:17:20Z</dcterms:created>
  <dcterms:modified xsi:type="dcterms:W3CDTF">2026-07-14T16:48:03Z</dcterms:modified>
</cp:coreProperties>
</file>